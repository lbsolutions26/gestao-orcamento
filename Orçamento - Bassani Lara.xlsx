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office.chartex+xml" PartName="/xl/charts/chartEx1.xml"/>
  <Override ContentType="application/vnd.ms-office.chartcolorstyle+xml" PartName="/xl/charts/colors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office.chartstyle+xml" PartName="/xl/charts/style1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BASE DE DADOS" sheetId="2" r:id="rId6"/>
    <sheet state="visible" name="DIÁRIO" sheetId="3" r:id="rId7"/>
    <sheet state="visible" name="DASHBOARD" sheetId="4" r:id="rId8"/>
    <sheet state="visible" name="PLANO DE INVESTIMENTO" sheetId="5" r:id="rId9"/>
    <sheet state="visible" name="DINAMICA ORÇAMENTO" sheetId="6" r:id="rId10"/>
    <sheet state="visible" name="Orçamento" sheetId="7" r:id="rId11"/>
    <sheet state="visible" name="Orçamento Cenário Promoção" sheetId="8" r:id="rId12"/>
    <sheet state="visible" name="Orçamento Cenário Demissão" sheetId="9" r:id="rId13"/>
    <sheet state="visible" name="Página4" sheetId="10" r:id="rId14"/>
    <sheet state="visible" name="SIMULADOR" sheetId="11" r:id="rId15"/>
    <sheet state="visible" name="Tabela dinâmica 2" sheetId="12" r:id="rId16"/>
    <sheet state="visible" name="Tabela dinâmica 1" sheetId="13" r:id="rId17"/>
  </sheets>
  <definedNames>
    <definedName hidden="1" localSheetId="1" name="_xlnm._FilterDatabase">'BASE DE DADOS'!$A$1:$I$459</definedName>
  </definedNames>
  <calcPr/>
  <pivotCaches>
    <pivotCache cacheId="0" r:id="rId18"/>
    <pivotCache cacheId="1" r:id="rId19"/>
    <pivotCache cacheId="2" r:id="rId20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valor incluido manualmente = saldo da conta da empresa no dia 06/10</t>
      </text>
    </comment>
  </commentList>
</comments>
</file>

<file path=xl/sharedStrings.xml><?xml version="1.0" encoding="utf-8"?>
<sst xmlns="http://schemas.openxmlformats.org/spreadsheetml/2006/main" count="2725" uniqueCount="210">
  <si>
    <t>ORÇAMENTO ORIGINAL</t>
  </si>
  <si>
    <t>DIA/MÊS</t>
  </si>
  <si>
    <t>VALOR</t>
  </si>
  <si>
    <t>DESCRIÇÃO</t>
  </si>
  <si>
    <t>TIPO</t>
  </si>
  <si>
    <t>Competência</t>
  </si>
  <si>
    <t>MOINHOS diferença do dissidio</t>
  </si>
  <si>
    <t>Receita</t>
  </si>
  <si>
    <t>MOINHOS adto 1ª parcela 10º</t>
  </si>
  <si>
    <t>COFELMA</t>
  </si>
  <si>
    <t>MOINHOS</t>
  </si>
  <si>
    <t>cheque especial do Santander</t>
  </si>
  <si>
    <t>Despesa</t>
  </si>
  <si>
    <t>Limite Santander</t>
  </si>
  <si>
    <t>Emprestimo Tieda</t>
  </si>
  <si>
    <t>Samanta</t>
  </si>
  <si>
    <t>Laura Curso</t>
  </si>
  <si>
    <t>Tieda</t>
  </si>
  <si>
    <t>Gladis</t>
  </si>
  <si>
    <t>Cássio</t>
  </si>
  <si>
    <t>contador Rodrigo</t>
  </si>
  <si>
    <t>ok</t>
  </si>
  <si>
    <t>Fernando</t>
  </si>
  <si>
    <t>contador Rodrigo - mensal</t>
  </si>
  <si>
    <t>Elinilson parc carro</t>
  </si>
  <si>
    <t>Santander</t>
  </si>
  <si>
    <t>Quinto Andar</t>
  </si>
  <si>
    <t>Pgto crédito Nubank</t>
  </si>
  <si>
    <t>CRA-RS</t>
  </si>
  <si>
    <t>Estacionamento POA</t>
  </si>
  <si>
    <t>Café Setor</t>
  </si>
  <si>
    <t>RGE Ape Cachoeirinha (atrasada)</t>
  </si>
  <si>
    <t>Passagens Rodrigo</t>
  </si>
  <si>
    <t>Está com o carro. Fazer Bla Bla Car</t>
  </si>
  <si>
    <t>Cartão de crédito Santander</t>
  </si>
  <si>
    <t>Condominio Amazonas</t>
  </si>
  <si>
    <t>SALDO PARCIAL</t>
  </si>
  <si>
    <t>Caixa Economica</t>
  </si>
  <si>
    <t>Unimed Malu</t>
  </si>
  <si>
    <t>Design cliente Alice 1/2</t>
  </si>
  <si>
    <t>SIMULAÇÃO</t>
  </si>
  <si>
    <t xml:space="preserve"> </t>
  </si>
  <si>
    <t>Cartão de crédito Nubank</t>
  </si>
  <si>
    <t>Sr José</t>
  </si>
  <si>
    <t>Iphone Bruna</t>
  </si>
  <si>
    <t>Customic</t>
  </si>
  <si>
    <t>Fatura Claro Wifi</t>
  </si>
  <si>
    <t>SALDO TOTAL</t>
  </si>
  <si>
    <t>cheque especial Santander</t>
  </si>
  <si>
    <t>DARF L&amp;B Solutions</t>
  </si>
  <si>
    <t>Farmacia Malu</t>
  </si>
  <si>
    <t>Mercado Finde</t>
  </si>
  <si>
    <t>Gasolina</t>
  </si>
  <si>
    <t>Desing cliente Belk 2/2</t>
  </si>
  <si>
    <t>Taxa baixa do MEI</t>
  </si>
  <si>
    <t>Saldo</t>
  </si>
  <si>
    <t>RGE Ape Cachoeirinha</t>
  </si>
  <si>
    <t>Energia CEEE Ape Poa</t>
  </si>
  <si>
    <t>Condominio Amazonas (em atraso)</t>
  </si>
  <si>
    <t>Despesas da semana mercado e gasolina</t>
  </si>
  <si>
    <t>CUSTOMIC</t>
  </si>
  <si>
    <t>boleto contabilidade atrasado</t>
  </si>
  <si>
    <t>Pago</t>
  </si>
  <si>
    <t>impostos L&amp;B Solutions</t>
  </si>
  <si>
    <t>Cartão Crédito Santander</t>
  </si>
  <si>
    <t>Mensalidade Unimed Malu</t>
  </si>
  <si>
    <t>Previsão</t>
  </si>
  <si>
    <t>Coparticipação Unimed Malu</t>
  </si>
  <si>
    <t>Sam oculos</t>
  </si>
  <si>
    <t xml:space="preserve">Pago </t>
  </si>
  <si>
    <t>Aluguel Apto Cachoeirinha</t>
  </si>
  <si>
    <t>Recebido</t>
  </si>
  <si>
    <t>Aluguel Casa Gravataí</t>
  </si>
  <si>
    <t>Fatura Claro</t>
  </si>
  <si>
    <t>Desing cliente Alice 2/2</t>
  </si>
  <si>
    <t>15 ANOS LAURA</t>
  </si>
  <si>
    <t>Condominio Porto Alegre</t>
  </si>
  <si>
    <t>SALDO TOTAL BANCO</t>
  </si>
  <si>
    <t>15 ANOS</t>
  </si>
  <si>
    <t>conta rodrigo</t>
  </si>
  <si>
    <t>conta empresa</t>
  </si>
  <si>
    <t>contas a pagar</t>
  </si>
  <si>
    <t>saldo</t>
  </si>
  <si>
    <t>Categoria</t>
  </si>
  <si>
    <t>Descrição</t>
  </si>
  <si>
    <t>Data Vencimento</t>
  </si>
  <si>
    <t>Valor</t>
  </si>
  <si>
    <t>Situação</t>
  </si>
  <si>
    <t>Data Pagamento</t>
  </si>
  <si>
    <t>Forma Pagamento</t>
  </si>
  <si>
    <t>Tipo</t>
  </si>
  <si>
    <t>Observação</t>
  </si>
  <si>
    <t>Moradia</t>
  </si>
  <si>
    <t>Luz Apto Cachoeirinha</t>
  </si>
  <si>
    <t>PAGO</t>
  </si>
  <si>
    <t>Conta Corrente</t>
  </si>
  <si>
    <t>Saída</t>
  </si>
  <si>
    <t>Energia atrasada de agosto</t>
  </si>
  <si>
    <t>Condomínio Santa Maria B3 102</t>
  </si>
  <si>
    <t>Livre</t>
  </si>
  <si>
    <t>Cartão de Crédito</t>
  </si>
  <si>
    <t>Condomínio Santa Maria H3 105</t>
  </si>
  <si>
    <t>NÃO PAGO</t>
  </si>
  <si>
    <t>Provisao</t>
  </si>
  <si>
    <t>Salário</t>
  </si>
  <si>
    <t>Cofelma</t>
  </si>
  <si>
    <t>Entrada</t>
  </si>
  <si>
    <t>Viagens</t>
  </si>
  <si>
    <t>Estadia casa sogra</t>
  </si>
  <si>
    <t>Pensões</t>
  </si>
  <si>
    <t>José</t>
  </si>
  <si>
    <t>Impostos</t>
  </si>
  <si>
    <t>L&amp;B Solutions - Contador</t>
  </si>
  <si>
    <t>L&amp;B Solutions - Impostos</t>
  </si>
  <si>
    <t>Provisão</t>
  </si>
  <si>
    <t>15 anos Laura</t>
  </si>
  <si>
    <t>Aluguel Santa Maria B3 102</t>
  </si>
  <si>
    <t>Aluguel Santa Maria H3 105</t>
  </si>
  <si>
    <t>HMV</t>
  </si>
  <si>
    <t>Desconto de R$ 630,64 de farmácia</t>
  </si>
  <si>
    <t>Transporte</t>
  </si>
  <si>
    <t>Parcelamento Carro</t>
  </si>
  <si>
    <t>Ultima parcela</t>
  </si>
  <si>
    <t>Ajuda Gladis</t>
  </si>
  <si>
    <t>Educação</t>
  </si>
  <si>
    <t>Curso Laura</t>
  </si>
  <si>
    <t>Oculos Naira</t>
  </si>
  <si>
    <t>Darfweb previdenciário e retenções</t>
  </si>
  <si>
    <t>CRA - RS</t>
  </si>
  <si>
    <t>Previsão de despesa</t>
  </si>
  <si>
    <t>Alimentação</t>
  </si>
  <si>
    <t>Mercado</t>
  </si>
  <si>
    <t>Caixa Apto Cachoeirinha</t>
  </si>
  <si>
    <t>Parcelamento MEI 02/60</t>
  </si>
  <si>
    <t>Condomínio POA</t>
  </si>
  <si>
    <t>Saúde</t>
  </si>
  <si>
    <t>Convênio Cauzzo Mais</t>
  </si>
  <si>
    <t>Cooparticipação Unimed</t>
  </si>
  <si>
    <t>Nubank</t>
  </si>
  <si>
    <t>Pós Naira</t>
  </si>
  <si>
    <t>Internet SM</t>
  </si>
  <si>
    <t>Contas Básicas</t>
  </si>
  <si>
    <t>Telefone + internet CLARO</t>
  </si>
  <si>
    <t>Rescisão contrato apto POA</t>
  </si>
  <si>
    <t>Mensalidade Contabilidade</t>
  </si>
  <si>
    <t>Luz Apto Poa</t>
  </si>
  <si>
    <t>Previsão de rescisão</t>
  </si>
  <si>
    <t>Darfweb previdenciário e retenções 09_2025</t>
  </si>
  <si>
    <t>Darfweb previdenciário e retenções 10_2025</t>
  </si>
  <si>
    <t>DAS Simples Nacional 10_2025</t>
  </si>
  <si>
    <t>Luz Apto SM</t>
  </si>
  <si>
    <t>Ref.ago/25</t>
  </si>
  <si>
    <t>Empréstimo</t>
  </si>
  <si>
    <t>Claro Naira</t>
  </si>
  <si>
    <t>Claro Rodrigo</t>
  </si>
  <si>
    <t>Caixa Casa Canoas</t>
  </si>
  <si>
    <t>Parcela Compra Casa Gravataí</t>
  </si>
  <si>
    <t>Rescisão contrato apto SM</t>
  </si>
  <si>
    <t>Viagens POA</t>
  </si>
  <si>
    <t>Combustível SM</t>
  </si>
  <si>
    <t>Alimentação Mensal</t>
  </si>
  <si>
    <t>Farmácia</t>
  </si>
  <si>
    <t>DATA</t>
  </si>
  <si>
    <t>TOTAL DO DIA</t>
  </si>
  <si>
    <t>DE:</t>
  </si>
  <si>
    <t>Despesas Totais</t>
  </si>
  <si>
    <t>Entradas Totais</t>
  </si>
  <si>
    <t>Contas EM ABERTO</t>
  </si>
  <si>
    <t>ATÉ:</t>
  </si>
  <si>
    <t>CATEGORIA</t>
  </si>
  <si>
    <t>Considerando um aporte inicial de R$ 1.000 + R$ 3.000 mensais no Tesouro Selic.</t>
  </si>
  <si>
    <t>Resumo dos resultados:</t>
  </si>
  <si>
    <t>Meta da reserva (R$ 114 mil): alcançada no mês 33 (2 anos e 9 meses).</t>
  </si>
  <si>
    <t>Saldo em 1 ano: R$ 38.848</t>
  </si>
  <si>
    <t>Saldo em 2 anos: R$ 80.766</t>
  </si>
  <si>
    <t>Saldo em 3 anos: R$ 127.189</t>
  </si>
  <si>
    <t>Saldo em 5 anos: R$ 235.544</t>
  </si>
  <si>
    <t>SUM de Valor</t>
  </si>
  <si>
    <t>Total geral</t>
  </si>
  <si>
    <t>ATUAL</t>
  </si>
  <si>
    <t>RECEITAS</t>
  </si>
  <si>
    <t>DESPESAS</t>
  </si>
  <si>
    <t>Empresa</t>
  </si>
  <si>
    <t>Percentual</t>
  </si>
  <si>
    <t>Classificação</t>
  </si>
  <si>
    <t>Investimento</t>
  </si>
  <si>
    <t>-Casa SM (Aluguel+Cond.) (700 + 400)
-AP POA (Aluguel+Cond.+ Garagem) (2.400 + 300 + 280)
-AP Cachoeirinha (Caixa + Cássio) (560 + 200)
-Casa Canoas (filhas) (500)
-Aluguel Gravataí (+450)</t>
  </si>
  <si>
    <t>-Gasolina (400)
-Pedágios (0)
-Lavagens (100)
-Mecânico (200)
-Uber (300)
-Multas (200)</t>
  </si>
  <si>
    <t>Diversão</t>
  </si>
  <si>
    <t>-Vôlei Rodrigo</t>
  </si>
  <si>
    <t>-Telefone (255)
-Água (todas casas)
-Luz (todas casas) (250+50)
-IPTU (todas casas) (50)
-Gás (todas casas) (130)
-Internet (todas casas) (89,90)</t>
  </si>
  <si>
    <t>-Curso Laura (278)
-Faculdade Naira</t>
  </si>
  <si>
    <t>-Roupas (300)
-Cartao Crédito (1500)
-Outros Gastos</t>
  </si>
  <si>
    <t>L&amp;B Solutions
- Impostos serviços (1200)
- Imposto IRRF (1600)
- Contador (350)</t>
  </si>
  <si>
    <t>-Tieda (1.500+424)
-Samanta (700)
-José (550)
-Fernando (810)</t>
  </si>
  <si>
    <t>-Plano de Saúde (350 + 2500)
-Farmácia (650)
-Gastos Médicos</t>
  </si>
  <si>
    <t>PROMOÇÃO</t>
  </si>
  <si>
    <t>META</t>
  </si>
  <si>
    <t>Valor Líq.</t>
  </si>
  <si>
    <t>Valor Bruto</t>
  </si>
  <si>
    <t>-Casa SM (Aluguel+Cond.) (700 + 400)
-AP POA (Aluguel+Cond.+ Garagem) (2.600 + 740 + 280)
-AP Cachoeirinha (Caixa + Cássio) (560 + 200)
-Casa Canoas (filhas) (500)
-Aluguel Gravataí (+450)</t>
  </si>
  <si>
    <t>-Gasolina (400)
-Pedágios (0)
-Lavagens (100)
-Mecânico (200)
-Uber (700)
-Multas (200)</t>
  </si>
  <si>
    <t>DEMISSAO</t>
  </si>
  <si>
    <t>-Casa SM (Aluguel+Cond.) (700 + 400)
-AP Cachoeirinha (Caixa + Cássio) (560 + 200)
-Casa Canoas (filhas) (500)
-Aluguel Gravataí (+450)</t>
  </si>
  <si>
    <t>-Gasolina (400)
-Pedágios (0)
-Lavagens (100)
-Mecânico (200)
-Multas (200)</t>
  </si>
  <si>
    <t xml:space="preserve">-Telefone (255)
-Água (todas casas)
-Luz (todas casas) (250)
-IPTU (todas casas) (50)
</t>
  </si>
  <si>
    <t>SUM de VALOR</t>
  </si>
  <si>
    <t>Colunas</t>
  </si>
  <si>
    <t>Linhas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</si>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</sst>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/yyyy"/>
    <numFmt numFmtId="165" formatCode="dd/mmm"/>
    <numFmt numFmtId="166" formatCode="d/mmm"/>
    <numFmt numFmtId="167" formatCode="dd/mm"/>
    <numFmt numFmtId="168" formatCode="dd/MM/yyyy"/>
    <numFmt numFmtId="169" formatCode="[$R$ -416]#,##0.00"/>
    <numFmt numFmtId="170" formatCode="_([$R$ -416]* #,##0.00_);_([$R$ -416]* \(#,##0.00\);_([$R$ -416]* &quot;-&quot;??_);_(@_)"/>
    <numFmt numFmtId="171" formatCode="0.0%"/>
  </numFmts>
  <fonts count="37">
    <font>
      <sz val="10.0"/>
      <color rgb="FF000000"/>
      <name val="Arial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sz val="9.0"/>
      <color rgb="FFFF0000"/>
      <name val="Calibri"/>
    </font>
    <font>
      <b/>
      <color rgb="FF000000"/>
      <name val="Calibri"/>
    </font>
    <font>
      <i/>
      <color rgb="FF000000"/>
      <name val="Calibri"/>
    </font>
    <font>
      <i/>
      <sz val="11.0"/>
      <color rgb="FF000000"/>
      <name val="Calibri"/>
    </font>
    <font>
      <b/>
      <sz val="9.0"/>
      <color rgb="FF38761D"/>
      <name val="Calibri"/>
    </font>
    <font>
      <sz val="11.0"/>
      <color rgb="FFAEAAAA"/>
      <name val="Calibri"/>
    </font>
    <font>
      <i/>
      <sz val="11.0"/>
      <color rgb="FFAEAAAA"/>
      <name val="Calibri"/>
    </font>
    <font>
      <sz val="11.0"/>
      <color rgb="FFFF0000"/>
      <name val="Calibri"/>
    </font>
    <font>
      <b/>
      <i/>
      <sz val="11.0"/>
      <color rgb="FF000000"/>
      <name val="Calibri"/>
    </font>
    <font>
      <i/>
      <color rgb="FFAEAAAA"/>
      <name val="Calibri"/>
    </font>
    <font>
      <color theme="1"/>
      <name val="Arial"/>
      <scheme val="minor"/>
    </font>
    <font>
      <b/>
      <i/>
      <sz val="11.0"/>
      <color rgb="FFFFFFFF"/>
      <name val="Calibri"/>
    </font>
    <font>
      <b/>
      <sz val="11.0"/>
      <color rgb="FFFF0000"/>
      <name val="Calibri"/>
    </font>
    <font>
      <i/>
      <color theme="1"/>
      <name val="Arial"/>
      <scheme val="minor"/>
    </font>
    <font>
      <b/>
      <i/>
      <sz val="11.0"/>
      <color rgb="FFFF0000"/>
      <name val="Calibri"/>
    </font>
    <font>
      <b/>
      <sz val="9.0"/>
      <color rgb="FF45818E"/>
      <name val="Calibri"/>
    </font>
    <font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color theme="1"/>
      <name val="Arial"/>
    </font>
    <font>
      <sz val="9.0"/>
      <color rgb="FF38761D"/>
      <name val="Calibri"/>
    </font>
    <font>
      <sz val="9.0"/>
      <color rgb="FF000000"/>
      <name val="Calibri"/>
    </font>
    <font>
      <color rgb="FF000000"/>
      <name val="Arial"/>
      <scheme val="minor"/>
    </font>
    <font>
      <i/>
      <color rgb="FFA5A5A5"/>
      <name val="Calibri"/>
    </font>
    <font>
      <color rgb="FFD4EDBC"/>
      <name val="Roboto"/>
    </font>
    <font>
      <color rgb="FF434343"/>
      <name val="Roboto"/>
    </font>
    <font>
      <color rgb="FFFFCFC9"/>
      <name val="Roboto"/>
    </font>
    <font>
      <color theme="1"/>
      <name val="Roboto"/>
    </font>
    <font>
      <color rgb="FFB10202"/>
      <name val="Roboto"/>
    </font>
    <font>
      <color rgb="FF434343"/>
      <name val="Arial"/>
    </font>
    <font>
      <b/>
      <sz val="11.0"/>
      <color theme="0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C6E0B4"/>
        <bgColor rgb="FFC6E0B4"/>
      </patternFill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3" fontId="1" numFmtId="164" xfId="0" applyAlignment="1" applyFill="1" applyFont="1" applyNumberFormat="1">
      <alignment horizontal="center" readingOrder="0" shrinkToFit="0" vertical="bottom" wrapText="0"/>
    </xf>
    <xf borderId="1" fillId="3" fontId="1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4" fontId="1" numFmtId="4" xfId="0" applyAlignment="1" applyFill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5" fontId="3" numFmtId="164" xfId="0" applyAlignment="1" applyFill="1" applyFont="1" applyNumberFormat="1">
      <alignment horizontal="center" readingOrder="0" shrinkToFit="0" vertical="bottom" wrapText="0"/>
    </xf>
    <xf borderId="0" fillId="5" fontId="3" numFmtId="165" xfId="0" applyAlignment="1" applyFont="1" applyNumberFormat="1">
      <alignment horizontal="center" readingOrder="0" shrinkToFit="0" vertical="bottom" wrapText="0"/>
    </xf>
    <xf borderId="0" fillId="5" fontId="1" numFmtId="4" xfId="0" applyAlignment="1" applyFont="1" applyNumberFormat="1">
      <alignment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5" fontId="6" numFmtId="0" xfId="0" applyAlignment="1" applyFont="1">
      <alignment readingOrder="0" shrinkToFit="0" vertical="bottom" wrapText="0"/>
    </xf>
    <xf borderId="0" fillId="5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3" numFmtId="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3" fontId="1" numFmtId="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4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1" numFmtId="4" xfId="0" applyAlignment="1" applyFont="1" applyNumberFormat="1">
      <alignment readingOrder="0" shrinkToFit="0" vertical="bottom" wrapText="0"/>
    </xf>
    <xf borderId="0" fillId="0" fontId="3" numFmtId="166" xfId="0" applyAlignment="1" applyFont="1" applyNumberFormat="1">
      <alignment horizontal="center" readingOrder="0" shrinkToFit="0" vertical="bottom" wrapText="0"/>
    </xf>
    <xf borderId="0" fillId="6" fontId="1" numFmtId="4" xfId="0" applyAlignment="1" applyFill="1" applyFont="1" applyNumberFormat="1">
      <alignment readingOrder="0" shrinkToFit="0" vertical="bottom" wrapText="0"/>
    </xf>
    <xf borderId="0" fillId="6" fontId="12" numFmtId="0" xfId="0" applyAlignment="1" applyFont="1">
      <alignment readingOrder="0" shrinkToFit="0" vertical="bottom" wrapText="0"/>
    </xf>
    <xf borderId="0" fillId="0" fontId="9" numFmtId="4" xfId="0" applyAlignment="1" applyFont="1" applyNumberForma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7" fontId="15" numFmtId="4" xfId="0" applyAlignment="1" applyFill="1" applyFont="1" applyNumberFormat="1">
      <alignment readingOrder="0" shrinkToFit="0" vertical="bottom" wrapText="0"/>
    </xf>
    <xf borderId="0" fillId="7" fontId="15" numFmtId="0" xfId="0" applyAlignment="1" applyFont="1">
      <alignment readingOrder="0" shrinkToFit="0" vertical="bottom" wrapText="0"/>
    </xf>
    <xf borderId="0" fillId="8" fontId="16" numFmtId="4" xfId="0" applyAlignment="1" applyFill="1" applyFont="1" applyNumberFormat="1">
      <alignment readingOrder="0" shrinkToFit="0" vertical="bottom" wrapText="0"/>
    </xf>
    <xf borderId="0" fillId="0" fontId="3" numFmtId="167" xfId="0" applyAlignment="1" applyFont="1" applyNumberFormat="1">
      <alignment horizontal="center" readingOrder="0" shrinkToFit="0" vertical="bottom" wrapText="0"/>
    </xf>
    <xf borderId="0" fillId="0" fontId="17" numFmtId="0" xfId="0" applyAlignment="1" applyFont="1">
      <alignment readingOrder="0"/>
    </xf>
    <xf borderId="0" fillId="5" fontId="3" numFmtId="165" xfId="0" applyAlignment="1" applyFont="1" applyNumberFormat="1">
      <alignment horizontal="right" readingOrder="0" shrinkToFit="0" vertical="bottom" wrapText="0"/>
    </xf>
    <xf borderId="0" fillId="5" fontId="3" numFmtId="4" xfId="0" applyAlignment="1" applyFont="1" applyNumberFormat="1">
      <alignment readingOrder="0" shrinkToFit="0" vertical="bottom" wrapText="0"/>
    </xf>
    <xf borderId="0" fillId="5" fontId="7" numFmtId="0" xfId="0" applyAlignment="1" applyFont="1">
      <alignment readingOrder="0" shrinkToFit="0" vertical="bottom" wrapText="0"/>
    </xf>
    <xf borderId="0" fillId="5" fontId="3" numFmtId="0" xfId="0" applyAlignment="1" applyFont="1">
      <alignment shrinkToFit="0" vertical="bottom" wrapText="0"/>
    </xf>
    <xf borderId="0" fillId="5" fontId="18" numFmtId="4" xfId="0" applyAlignment="1" applyFont="1" applyNumberFormat="1">
      <alignment readingOrder="0" shrinkToFit="0" vertical="bottom" wrapText="0"/>
    </xf>
    <xf borderId="0" fillId="5" fontId="12" numFmtId="0" xfId="0" applyAlignment="1" applyFont="1">
      <alignment readingOrder="0" shrinkToFit="0" vertical="bottom" wrapText="0"/>
    </xf>
    <xf borderId="0" fillId="5" fontId="14" numFmtId="0" xfId="0" applyFont="1"/>
    <xf borderId="0" fillId="0" fontId="12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6" numFmtId="4" xfId="0" applyAlignment="1" applyFont="1" applyNumberFormat="1">
      <alignment readingOrder="0" shrinkToFit="0" vertical="bottom" wrapText="0"/>
    </xf>
    <xf borderId="0" fillId="8" fontId="3" numFmtId="4" xfId="0" applyAlignment="1" applyFont="1" applyNumberFormat="1">
      <alignment readingOrder="0" shrinkToFit="0" vertical="bottom" wrapText="0"/>
    </xf>
    <xf borderId="0" fillId="9" fontId="3" numFmtId="4" xfId="0" applyAlignment="1" applyFill="1" applyFont="1" applyNumberFormat="1">
      <alignment readingOrder="0" shrinkToFit="0" vertical="bottom" wrapText="0"/>
    </xf>
    <xf borderId="0" fillId="0" fontId="20" numFmtId="165" xfId="0" applyAlignment="1" applyFont="1" applyNumberFormat="1">
      <alignment horizontal="right" vertical="bottom"/>
    </xf>
    <xf borderId="0" fillId="0" fontId="20" numFmtId="4" xfId="0" applyAlignment="1" applyFont="1" applyNumberFormat="1">
      <alignment horizontal="right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readingOrder="0" shrinkToFit="0" vertical="bottom" wrapText="0"/>
    </xf>
    <xf borderId="0" fillId="5" fontId="25" numFmtId="0" xfId="0" applyAlignment="1" applyFont="1">
      <alignment shrinkToFit="0" vertical="bottom" wrapText="0"/>
    </xf>
    <xf borderId="0" fillId="5" fontId="26" numFmtId="0" xfId="0" applyFont="1"/>
    <xf borderId="0" fillId="0" fontId="27" numFmtId="0" xfId="0" applyAlignment="1" applyFont="1">
      <alignment readingOrder="0" shrinkToFit="0" vertical="bottom" wrapText="0"/>
    </xf>
    <xf borderId="0" fillId="8" fontId="3" numFmtId="166" xfId="0" applyAlignment="1" applyFont="1" applyNumberFormat="1">
      <alignment horizontal="right" readingOrder="0" shrinkToFit="0" vertical="bottom" wrapText="0"/>
    </xf>
    <xf borderId="0" fillId="8" fontId="11" numFmtId="4" xfId="0" applyAlignment="1" applyFont="1" applyNumberFormat="1">
      <alignment readingOrder="0" shrinkToFit="0" vertical="bottom" wrapText="0"/>
    </xf>
    <xf borderId="0" fillId="8" fontId="7" numFmtId="0" xfId="0" applyAlignment="1" applyFont="1">
      <alignment readingOrder="0" shrinkToFit="0" vertical="bottom" wrapText="0"/>
    </xf>
    <xf borderId="0" fillId="8" fontId="6" numFmtId="0" xfId="0" applyAlignment="1" applyFont="1">
      <alignment readingOrder="0" shrinkToFit="0" vertical="bottom" wrapText="0"/>
    </xf>
    <xf borderId="0" fillId="8" fontId="3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0"/>
    </xf>
    <xf borderId="0" fillId="8" fontId="14" numFmtId="0" xfId="0" applyFont="1"/>
    <xf borderId="0" fillId="8" fontId="7" numFmtId="4" xfId="0" applyAlignment="1" applyFont="1" applyNumberFormat="1">
      <alignment readingOrder="0" shrinkToFit="0" vertical="bottom" wrapText="0"/>
    </xf>
    <xf borderId="0" fillId="8" fontId="15" numFmtId="4" xfId="0" applyAlignment="1" applyFont="1" applyNumberFormat="1">
      <alignment readingOrder="0" shrinkToFit="0" vertical="bottom" wrapText="0"/>
    </xf>
    <xf borderId="0" fillId="8" fontId="15" numFmtId="0" xfId="0" applyAlignment="1" applyFont="1">
      <alignment readingOrder="0" shrinkToFit="0" vertical="bottom" wrapText="0"/>
    </xf>
    <xf borderId="0" fillId="8" fontId="6" numFmtId="0" xfId="0" applyAlignment="1" applyFont="1">
      <alignment shrinkToFit="0" vertical="bottom" wrapText="0"/>
    </xf>
    <xf borderId="0" fillId="0" fontId="3" numFmtId="4" xfId="0" applyAlignment="1" applyFont="1" applyNumberFormat="1">
      <alignment shrinkToFit="0" vertical="bottom" wrapText="0"/>
    </xf>
    <xf borderId="0" fillId="0" fontId="14" numFmtId="164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4" numFmtId="4" xfId="0" applyFont="1" applyNumberFormat="1"/>
    <xf borderId="2" fillId="0" fontId="14" numFmtId="0" xfId="0" applyAlignment="1" applyBorder="1" applyFont="1">
      <alignment horizontal="left" readingOrder="0" shrinkToFit="0" vertical="center" wrapText="0"/>
    </xf>
    <xf borderId="2" fillId="0" fontId="14" numFmtId="49" xfId="0" applyAlignment="1" applyBorder="1" applyFont="1" applyNumberFormat="1">
      <alignment horizontal="left" readingOrder="0" shrinkToFit="0" vertical="center" wrapText="0"/>
    </xf>
    <xf borderId="2" fillId="10" fontId="28" numFmtId="0" xfId="0" applyAlignment="1" applyBorder="1" applyFill="1" applyFont="1">
      <alignment readingOrder="0" shrinkToFit="0" vertical="center" wrapText="0"/>
    </xf>
    <xf borderId="2" fillId="10" fontId="29" numFmtId="0" xfId="0" applyAlignment="1" applyBorder="1" applyFont="1">
      <alignment readingOrder="0" shrinkToFit="0" vertical="center" wrapText="0"/>
    </xf>
    <xf borderId="2" fillId="10" fontId="29" numFmtId="168" xfId="0" applyAlignment="1" applyBorder="1" applyFont="1" applyNumberFormat="1">
      <alignment horizontal="right" readingOrder="0" shrinkToFit="0" vertical="center" wrapText="0"/>
    </xf>
    <xf borderId="2" fillId="10" fontId="29" numFmtId="169" xfId="0" applyAlignment="1" applyBorder="1" applyFont="1" applyNumberFormat="1">
      <alignment horizontal="right" readingOrder="0" shrinkToFit="0" vertical="center" wrapText="0"/>
    </xf>
    <xf borderId="2" fillId="10" fontId="30" numFmtId="0" xfId="0" applyAlignment="1" applyBorder="1" applyFont="1">
      <alignment readingOrder="0" shrinkToFit="0" vertical="center" wrapText="0"/>
    </xf>
    <xf borderId="2" fillId="10" fontId="23" numFmtId="168" xfId="0" applyAlignment="1" applyBorder="1" applyFont="1" applyNumberFormat="1">
      <alignment readingOrder="0" shrinkToFit="0" vertical="center" wrapText="0"/>
    </xf>
    <xf borderId="2" fillId="0" fontId="14" numFmtId="0" xfId="0" applyAlignment="1" applyBorder="1" applyFont="1">
      <alignment readingOrder="0" shrinkToFit="0" vertical="center" wrapText="0"/>
    </xf>
    <xf borderId="2" fillId="8" fontId="28" numFmtId="0" xfId="0" applyAlignment="1" applyBorder="1" applyFont="1">
      <alignment readingOrder="0" shrinkToFit="0" vertical="center" wrapText="0"/>
    </xf>
    <xf borderId="2" fillId="10" fontId="23" numFmtId="0" xfId="0" applyAlignment="1" applyBorder="1" applyFont="1">
      <alignment readingOrder="0" shrinkToFit="0" vertical="center" wrapText="0"/>
    </xf>
    <xf borderId="2" fillId="8" fontId="29" numFmtId="0" xfId="0" applyAlignment="1" applyBorder="1" applyFont="1">
      <alignment readingOrder="0" shrinkToFit="0" vertical="center" wrapText="0"/>
    </xf>
    <xf borderId="2" fillId="8" fontId="29" numFmtId="168" xfId="0" applyAlignment="1" applyBorder="1" applyFont="1" applyNumberFormat="1">
      <alignment horizontal="right" readingOrder="0" shrinkToFit="0" vertical="center" wrapText="0"/>
    </xf>
    <xf borderId="2" fillId="8" fontId="29" numFmtId="169" xfId="0" applyAlignment="1" applyBorder="1" applyFont="1" applyNumberFormat="1">
      <alignment horizontal="right" readingOrder="0" shrinkToFit="0" vertical="center" wrapText="0"/>
    </xf>
    <xf borderId="2" fillId="8" fontId="30" numFmtId="0" xfId="0" applyAlignment="1" applyBorder="1" applyFont="1">
      <alignment readingOrder="0" shrinkToFit="0" vertical="center" wrapText="0"/>
    </xf>
    <xf borderId="2" fillId="8" fontId="23" numFmtId="168" xfId="0" applyAlignment="1" applyBorder="1" applyFont="1" applyNumberFormat="1">
      <alignment readingOrder="0" shrinkToFit="0" vertical="center" wrapText="0"/>
    </xf>
    <xf borderId="2" fillId="8" fontId="31" numFmtId="0" xfId="0" applyAlignment="1" applyBorder="1" applyFont="1">
      <alignment readingOrder="0" shrinkToFit="0" vertical="center" wrapText="0"/>
    </xf>
    <xf borderId="2" fillId="8" fontId="23" numFmtId="0" xfId="0" applyAlignment="1" applyBorder="1" applyFont="1">
      <alignment shrinkToFit="0" vertical="center" wrapText="0"/>
    </xf>
    <xf borderId="2" fillId="10" fontId="23" numFmtId="168" xfId="0" applyAlignment="1" applyBorder="1" applyFont="1" applyNumberFormat="1">
      <alignment shrinkToFit="0" vertical="center" wrapText="0"/>
    </xf>
    <xf borderId="2" fillId="10" fontId="23" numFmtId="0" xfId="0" applyAlignment="1" applyBorder="1" applyFont="1">
      <alignment shrinkToFit="0" vertical="center" wrapText="0"/>
    </xf>
    <xf borderId="2" fillId="8" fontId="29" numFmtId="169" xfId="0" applyAlignment="1" applyBorder="1" applyFont="1" applyNumberFormat="1">
      <alignment horizontal="right" shrinkToFit="0" vertical="center" wrapText="0"/>
    </xf>
    <xf borderId="2" fillId="8" fontId="30" numFmtId="0" xfId="0" applyAlignment="1" applyBorder="1" applyFont="1">
      <alignment shrinkToFit="0" vertical="center" wrapText="0"/>
    </xf>
    <xf borderId="2" fillId="10" fontId="28" numFmtId="0" xfId="0" applyAlignment="1" applyBorder="1" applyFont="1">
      <alignment shrinkToFit="0" vertical="center" wrapText="0"/>
    </xf>
    <xf borderId="2" fillId="10" fontId="31" numFmtId="0" xfId="0" applyAlignment="1" applyBorder="1" applyFont="1">
      <alignment shrinkToFit="0" vertical="center" wrapText="0"/>
    </xf>
    <xf borderId="2" fillId="10" fontId="29" numFmtId="0" xfId="0" applyAlignment="1" applyBorder="1" applyFont="1">
      <alignment shrinkToFit="0" vertical="center" wrapText="0"/>
    </xf>
    <xf borderId="2" fillId="10" fontId="29" numFmtId="169" xfId="0" applyAlignment="1" applyBorder="1" applyFont="1" applyNumberFormat="1">
      <alignment horizontal="right" shrinkToFit="0" vertical="center" wrapText="0"/>
    </xf>
    <xf borderId="2" fillId="0" fontId="14" numFmtId="0" xfId="0" applyAlignment="1" applyBorder="1" applyFont="1">
      <alignment readingOrder="0" shrinkToFit="0" vertical="center" wrapText="0"/>
    </xf>
    <xf borderId="2" fillId="0" fontId="14" numFmtId="168" xfId="0" applyAlignment="1" applyBorder="1" applyFont="1" applyNumberFormat="1">
      <alignment readingOrder="0" shrinkToFit="0" vertical="center" wrapText="0"/>
    </xf>
    <xf borderId="2" fillId="0" fontId="14" numFmtId="169" xfId="0" applyAlignment="1" applyBorder="1" applyFont="1" applyNumberFormat="1">
      <alignment readingOrder="0" shrinkToFit="0" vertical="center" wrapText="0"/>
    </xf>
    <xf borderId="2" fillId="0" fontId="14" numFmtId="0" xfId="0" applyAlignment="1" applyBorder="1" applyFont="1">
      <alignment shrinkToFit="0" vertical="center" wrapText="0"/>
    </xf>
    <xf borderId="2" fillId="5" fontId="23" numFmtId="168" xfId="0" applyAlignment="1" applyBorder="1" applyFont="1" applyNumberFormat="1">
      <alignment readingOrder="0" shrinkToFit="0" vertical="center" wrapText="0"/>
    </xf>
    <xf borderId="2" fillId="11" fontId="23" numFmtId="168" xfId="0" applyAlignment="1" applyBorder="1" applyFill="1" applyFont="1" applyNumberFormat="1">
      <alignment readingOrder="0" shrinkToFit="0" vertical="center" wrapText="0"/>
    </xf>
    <xf borderId="2" fillId="8" fontId="28" numFmtId="0" xfId="0" applyAlignment="1" applyBorder="1" applyFont="1">
      <alignment shrinkToFit="0" vertical="center" wrapText="0"/>
    </xf>
    <xf borderId="2" fillId="8" fontId="29" numFmtId="0" xfId="0" applyAlignment="1" applyBorder="1" applyFont="1">
      <alignment shrinkToFit="0" vertical="center" wrapText="0"/>
    </xf>
    <xf borderId="2" fillId="8" fontId="31" numFmtId="0" xfId="0" applyAlignment="1" applyBorder="1" applyFont="1">
      <alignment shrinkToFit="0" vertical="center" wrapText="0"/>
    </xf>
    <xf borderId="2" fillId="8" fontId="31" numFmtId="0" xfId="0" applyAlignment="1" applyBorder="1" applyFont="1">
      <alignment readingOrder="0" shrinkToFit="0" vertical="center" wrapText="0"/>
    </xf>
    <xf borderId="2" fillId="8" fontId="28" numFmtId="0" xfId="0" applyAlignment="1" applyBorder="1" applyFont="1">
      <alignment readingOrder="0" shrinkToFit="0" vertical="center" wrapText="0"/>
    </xf>
    <xf borderId="2" fillId="10" fontId="30" numFmtId="0" xfId="0" applyAlignment="1" applyBorder="1" applyFont="1">
      <alignment shrinkToFit="0" vertical="center" wrapText="0"/>
    </xf>
    <xf borderId="2" fillId="8" fontId="32" numFmtId="0" xfId="0" applyAlignment="1" applyBorder="1" applyFont="1">
      <alignment shrinkToFit="0" vertical="center" wrapText="0"/>
    </xf>
    <xf borderId="2" fillId="8" fontId="28" numFmtId="0" xfId="0" applyAlignment="1" applyBorder="1" applyFont="1">
      <alignment shrinkToFit="0" vertical="center" wrapText="0"/>
    </xf>
    <xf borderId="2" fillId="8" fontId="33" numFmtId="168" xfId="0" applyAlignment="1" applyBorder="1" applyFont="1" applyNumberFormat="1">
      <alignment horizontal="right" shrinkToFit="0" vertical="center" wrapText="0"/>
    </xf>
    <xf borderId="2" fillId="8" fontId="31" numFmtId="0" xfId="0" applyAlignment="1" applyBorder="1" applyFont="1">
      <alignment shrinkToFit="0" vertical="center" wrapText="0"/>
    </xf>
    <xf borderId="2" fillId="8" fontId="30" numFmtId="0" xfId="0" applyAlignment="1" applyBorder="1" applyFont="1">
      <alignment shrinkToFit="0" vertical="center" wrapText="0"/>
    </xf>
    <xf borderId="2" fillId="8" fontId="23" numFmtId="0" xfId="0" applyAlignment="1" applyBorder="1" applyFont="1">
      <alignment readingOrder="0" shrinkToFit="0" vertical="center" wrapText="0"/>
    </xf>
    <xf borderId="2" fillId="10" fontId="32" numFmtId="0" xfId="0" applyAlignment="1" applyBorder="1" applyFont="1">
      <alignment shrinkToFit="0" vertical="center" wrapText="0"/>
    </xf>
    <xf borderId="2" fillId="10" fontId="32" numFmtId="0" xfId="0" applyAlignment="1" applyBorder="1" applyFont="1">
      <alignment readingOrder="0" shrinkToFit="0" vertical="center" wrapText="0"/>
    </xf>
    <xf borderId="0" fillId="10" fontId="32" numFmtId="0" xfId="0" applyAlignment="1" applyFont="1">
      <alignment shrinkToFit="0" vertical="center" wrapText="0"/>
    </xf>
    <xf borderId="0" fillId="10" fontId="29" numFmtId="0" xfId="0" applyAlignment="1" applyFont="1">
      <alignment shrinkToFit="0" vertical="center" wrapText="0"/>
    </xf>
    <xf borderId="0" fillId="10" fontId="29" numFmtId="168" xfId="0" applyAlignment="1" applyFont="1" applyNumberFormat="1">
      <alignment horizontal="right" readingOrder="0" shrinkToFit="0" vertical="center" wrapText="0"/>
    </xf>
    <xf borderId="0" fillId="8" fontId="29" numFmtId="169" xfId="0" applyAlignment="1" applyFont="1" applyNumberFormat="1">
      <alignment horizontal="right" readingOrder="0" shrinkToFit="0" vertical="center" wrapText="0"/>
    </xf>
    <xf borderId="0" fillId="10" fontId="30" numFmtId="0" xfId="0" applyAlignment="1" applyFont="1">
      <alignment readingOrder="0" shrinkToFit="0" vertical="center" wrapText="0"/>
    </xf>
    <xf borderId="0" fillId="10" fontId="23" numFmtId="168" xfId="0" applyAlignment="1" applyFont="1" applyNumberFormat="1">
      <alignment shrinkToFit="0" vertical="center" wrapText="0"/>
    </xf>
    <xf borderId="0" fillId="10" fontId="31" numFmtId="0" xfId="0" applyAlignment="1" applyFont="1">
      <alignment shrinkToFit="0" vertical="center" wrapText="0"/>
    </xf>
    <xf borderId="0" fillId="8" fontId="28" numFmtId="0" xfId="0" applyAlignment="1" applyFont="1">
      <alignment readingOrder="0" shrinkToFit="0" vertical="center" wrapText="0"/>
    </xf>
    <xf borderId="0" fillId="10" fontId="23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49" xfId="0" applyAlignment="1" applyFont="1" applyNumberFormat="1">
      <alignment horizontal="center" readingOrder="0" shrinkToFit="0" vertical="center" wrapText="0"/>
    </xf>
    <xf borderId="0" fillId="0" fontId="14" numFmtId="169" xfId="0" applyAlignment="1" applyFont="1" applyNumberFormat="1">
      <alignment horizontal="center" readingOrder="0" shrinkToFit="0" vertical="center" wrapText="0"/>
    </xf>
    <xf borderId="0" fillId="0" fontId="14" numFmtId="167" xfId="0" applyAlignment="1" applyFont="1" applyNumberFormat="1">
      <alignment readingOrder="0" shrinkToFit="0" vertical="center" wrapText="0"/>
    </xf>
    <xf borderId="0" fillId="0" fontId="14" numFmtId="169" xfId="0" applyAlignment="1" applyFont="1" applyNumberFormat="1">
      <alignment horizontal="center" shrinkToFit="0" vertical="center" wrapText="0"/>
    </xf>
    <xf borderId="0" fillId="0" fontId="14" numFmtId="170" xfId="0" applyAlignment="1" applyFont="1" applyNumberFormat="1">
      <alignment shrinkToFit="0" vertical="center" wrapText="0"/>
    </xf>
    <xf borderId="0" fillId="0" fontId="14" numFmtId="167" xfId="0" applyAlignment="1" applyFont="1" applyNumberFormat="1">
      <alignment readingOrder="0" shrinkToFit="0" vertical="center" wrapText="0"/>
    </xf>
    <xf borderId="0" fillId="0" fontId="14" numFmtId="169" xfId="0" applyAlignment="1" applyFont="1" applyNumberFormat="1">
      <alignment horizontal="center" shrinkToFit="0" vertical="center" wrapText="0"/>
    </xf>
    <xf borderId="0" fillId="11" fontId="14" numFmtId="170" xfId="0" applyAlignment="1" applyFont="1" applyNumberFormat="1">
      <alignment readingOrder="0" shrinkToFit="0" vertical="center" wrapText="0"/>
    </xf>
    <xf borderId="0" fillId="0" fontId="14" numFmtId="169" xfId="0" applyAlignment="1" applyFont="1" applyNumberFormat="1">
      <alignment horizontal="center"/>
    </xf>
    <xf borderId="0" fillId="2" fontId="14" numFmtId="0" xfId="0" applyAlignment="1" applyFont="1">
      <alignment horizontal="center" readingOrder="0"/>
    </xf>
    <xf borderId="0" fillId="2" fontId="14" numFmtId="168" xfId="0" applyAlignment="1" applyFont="1" applyNumberFormat="1">
      <alignment horizontal="center" readingOrder="0"/>
    </xf>
    <xf borderId="0" fillId="0" fontId="14" numFmtId="169" xfId="0" applyFont="1" applyNumberFormat="1"/>
    <xf borderId="0" fillId="12" fontId="34" numFmtId="0" xfId="0" applyAlignment="1" applyFill="1" applyFont="1">
      <alignment horizontal="center" readingOrder="0" vertical="center"/>
    </xf>
    <xf borderId="0" fillId="12" fontId="35" numFmtId="169" xfId="0" applyFont="1" applyNumberFormat="1"/>
    <xf borderId="0" fillId="2" fontId="14" numFmtId="167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4" numFmtId="169" xfId="0" applyAlignment="1" applyFont="1" applyNumberFormat="1">
      <alignment horizontal="center" readingOrder="0"/>
    </xf>
    <xf borderId="0" fillId="0" fontId="14" numFmtId="0" xfId="0" applyFont="1"/>
    <xf borderId="0" fillId="0" fontId="14" numFmtId="168" xfId="0" applyFont="1" applyNumberFormat="1"/>
    <xf borderId="0" fillId="0" fontId="14" numFmtId="169" xfId="0" applyAlignment="1" applyFont="1" applyNumberFormat="1">
      <alignment readingOrder="0"/>
    </xf>
    <xf borderId="0" fillId="0" fontId="14" numFmtId="49" xfId="0" applyFont="1" applyNumberFormat="1"/>
    <xf borderId="0" fillId="0" fontId="14" numFmtId="169" xfId="0" applyFont="1" applyNumberFormat="1"/>
    <xf borderId="0" fillId="13" fontId="35" numFmtId="0" xfId="0" applyAlignment="1" applyFill="1" applyFont="1">
      <alignment horizontal="center" readingOrder="0"/>
    </xf>
    <xf borderId="0" fillId="14" fontId="35" numFmtId="0" xfId="0" applyAlignment="1" applyFill="1" applyFont="1">
      <alignment readingOrder="0"/>
    </xf>
    <xf borderId="0" fillId="15" fontId="35" numFmtId="0" xfId="0" applyAlignment="1" applyFill="1" applyFont="1">
      <alignment readingOrder="0"/>
    </xf>
    <xf borderId="0" fillId="0" fontId="14" numFmtId="171" xfId="0" applyAlignment="1" applyFont="1" applyNumberFormat="1">
      <alignment horizontal="center"/>
    </xf>
    <xf borderId="0" fillId="0" fontId="14" numFmtId="10" xfId="0" applyAlignment="1" applyFont="1" applyNumberFormat="1">
      <alignment horizontal="center" readingOrder="0"/>
    </xf>
    <xf borderId="0" fillId="2" fontId="14" numFmtId="0" xfId="0" applyAlignment="1" applyFont="1">
      <alignment readingOrder="0"/>
    </xf>
    <xf borderId="0" fillId="2" fontId="14" numFmtId="10" xfId="0" applyAlignment="1" applyFont="1" applyNumberFormat="1">
      <alignment horizontal="center" readingOrder="0"/>
    </xf>
    <xf borderId="2" fillId="0" fontId="14" numFmtId="0" xfId="0" applyAlignment="1" applyBorder="1" applyFont="1">
      <alignment readingOrder="0" vertical="center"/>
    </xf>
    <xf borderId="2" fillId="0" fontId="14" numFmtId="171" xfId="0" applyAlignment="1" applyBorder="1" applyFont="1" applyNumberFormat="1">
      <alignment horizontal="center" readingOrder="0" vertical="center"/>
    </xf>
    <xf borderId="2" fillId="0" fontId="14" numFmtId="169" xfId="0" applyAlignment="1" applyBorder="1" applyFont="1" applyNumberFormat="1">
      <alignment horizontal="center" readingOrder="0" vertical="center"/>
    </xf>
    <xf borderId="2" fillId="0" fontId="14" numFmtId="10" xfId="0" applyAlignment="1" applyBorder="1" applyFont="1" applyNumberFormat="1">
      <alignment horizontal="center" readingOrder="0" vertical="center"/>
    </xf>
    <xf borderId="2" fillId="0" fontId="14" numFmtId="169" xfId="0" applyAlignment="1" applyBorder="1" applyFont="1" applyNumberFormat="1">
      <alignment horizontal="center" vertical="center"/>
    </xf>
    <xf borderId="2" fillId="0" fontId="14" numFmtId="0" xfId="0" applyAlignment="1" applyBorder="1" applyFont="1">
      <alignment vertical="center"/>
    </xf>
    <xf borderId="0" fillId="11" fontId="26" numFmtId="0" xfId="0" applyAlignment="1" applyFont="1">
      <alignment horizontal="center" readingOrder="0"/>
    </xf>
    <xf borderId="0" fillId="16" fontId="14" numFmtId="0" xfId="0" applyAlignment="1" applyFill="1" applyFont="1">
      <alignment horizontal="center" readingOrder="0"/>
    </xf>
    <xf borderId="0" fillId="0" fontId="14" numFmtId="10" xfId="0" applyAlignment="1" applyFont="1" applyNumberFormat="1">
      <alignment readingOrder="0" vertical="center"/>
    </xf>
    <xf borderId="0" fillId="12" fontId="14" numFmtId="169" xfId="0" applyAlignment="1" applyFont="1" applyNumberFormat="1">
      <alignment vertical="center"/>
    </xf>
    <xf borderId="2" fillId="0" fontId="14" numFmtId="0" xfId="0" applyAlignment="1" applyBorder="1" applyFont="1">
      <alignment horizontal="center" readingOrder="0" vertical="center"/>
    </xf>
    <xf borderId="0" fillId="0" fontId="14" numFmtId="169" xfId="0" applyAlignment="1" applyFont="1" applyNumberFormat="1">
      <alignment vertical="center"/>
    </xf>
    <xf borderId="0" fillId="0" fontId="14" numFmtId="9" xfId="0" applyAlignment="1" applyFont="1" applyNumberFormat="1">
      <alignment vertical="center"/>
    </xf>
    <xf borderId="0" fillId="16" fontId="14" numFmtId="169" xfId="0" applyAlignment="1" applyFont="1" applyNumberFormat="1">
      <alignment vertical="center"/>
    </xf>
    <xf borderId="0" fillId="0" fontId="14" numFmtId="10" xfId="0" applyFont="1" applyNumberFormat="1"/>
    <xf borderId="0" fillId="0" fontId="14" numFmtId="9" xfId="0" applyAlignment="1" applyFont="1" applyNumberFormat="1">
      <alignment readingOrder="0"/>
    </xf>
    <xf borderId="0" fillId="12" fontId="36" numFmtId="0" xfId="0" applyAlignment="1" applyFont="1">
      <alignment horizontal="center" readingOrder="0"/>
    </xf>
    <xf borderId="0" fillId="0" fontId="14" numFmtId="10" xfId="0" applyAlignment="1" applyFont="1" applyNumberFormat="1">
      <alignment readingOrder="0"/>
    </xf>
    <xf borderId="0" fillId="0" fontId="14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7C3"/>
          <bgColor rgb="FFF4C7C3"/>
        </patternFill>
      </fill>
      <border/>
    </dxf>
  </dxfs>
  <tableStyles count="2">
    <tableStyle count="4" pivot="0" name="BASE DE D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Á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2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DASHBOARD!$E$2</c:f>
            </c:strRef>
          </c:tx>
          <c:spPr>
            <a:solidFill>
              <a:srgbClr val="FF0000">
                <a:alpha val="10000"/>
              </a:srgbClr>
            </a:solidFill>
            <a:ln cmpd="sng">
              <a:solidFill>
                <a:srgbClr val="FF0000"/>
              </a:solidFill>
              <a:prstDash val="sys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DASHBOARD!$D$3:$D$1000</c:f>
            </c:strRef>
          </c:cat>
          <c:val>
            <c:numRef>
              <c:f>DASHBOARD!$E$3:$E$1000</c:f>
              <c:numCache/>
            </c:numRef>
          </c:val>
        </c:ser>
        <c:axId val="1078489978"/>
        <c:axId val="1247959216"/>
      </c:areaChart>
      <c:catAx>
        <c:axId val="107848997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959216"/>
      </c:catAx>
      <c:valAx>
        <c:axId val="1247959216"/>
        <c:scaling>
          <c:orientation val="minMax"/>
          <c:max val="5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48997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'Página4'!$B$2:$B$13</cx:f>
      </cx:numDim>
      <cx:strDim type="cat">
        <cx:f>'Página4'!$A$2:$A$13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Percentual versus Categoria</a:t>
          </a:r>
        </a:p>
      </cx:txPr>
    </cx:title>
    <cx:plotArea>
      <cx:plotAreaRegion>
        <cx:series layoutId="waterfall" uniqueId="{333A5851-C544-47A0-A707-BAC88B807DE7}">
          <cx:tx>
            <cx:txData>
              <cx:f>'Página4'!$B$1</cx:f>
            </cx:txData>
          </cx:tx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>Categoria</a:t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>Percentual</a:t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_rels/drawing10.xml.rels><?xml version="1.0" encoding="UTF-8" standalone="yes"?>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219075</xdr:colOff>
      <xdr:row>2</xdr:row>
      <xdr:rowOff>104775</xdr:rowOff>
    </xdr:from>
    <xdr:ext cx="5819775" cy="42481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0</xdr:row>
      <xdr:rowOff>38100</xdr:rowOff>
    </xdr:from>
    <xdr:ext cx="5819775" cy="476250"/>
    <xdr:pic>
      <xdr:nvPicPr>
        <xdr:cNvPr id="257047092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0</xdr:row>
      <xdr:rowOff>152400</xdr:rowOff>
    </xdr:from>
    <xdr:ext cx="5715000" cy="3533775"/>
    <mc:AlternateContent>
      <mc:Choice Requires="cx1">
        <xdr:graphicFrame>
          <xdr:nvGraphicFramePr>
            <xdr:cNvPr id="3" name="Chart 3" title="Gráfic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"/>
            </a:graphicData>
          </a:graphic>
        </xdr:graphicFrame>
      </mc:Choice>
      <mc:Fallback>
        <xdr:sp>
          <xdr:nvSpPr>
            <xdr:cNvPr id="4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459" sheet="BASE DE DADOS"/>
  </cacheSource>
  <cacheFields>
    <cacheField name="Categoria" numFmtId="0">
      <sharedItems containsBlank="1">
        <s v="Moradia"/>
        <s v="Livre"/>
        <s v="Salário"/>
        <s v="Viagens"/>
        <s v="Pensões"/>
        <s v="Impostos"/>
        <s v="Transporte"/>
        <s v="Educação"/>
        <s v="Alimentação"/>
        <s v="Saúde"/>
        <s v="Contas Básicas"/>
        <m/>
      </sharedItems>
    </cacheField>
    <cacheField name="Descrição" numFmtId="0">
      <sharedItems containsBlank="1">
        <s v="Luz Apto Cachoeirinha"/>
        <s v="Condomínio Santa Maria B3 102"/>
        <s v="Cartão de Crédito"/>
        <s v="Condomínio Santa Maria H3 105"/>
        <s v="Cássio"/>
        <s v="Cofelma"/>
        <s v="Estadia casa sogra"/>
        <s v="Fernando"/>
        <s v="José"/>
        <s v="L&amp;B Solutions - Contador"/>
        <s v="L&amp;B Solutions - Impostos"/>
        <s v="Samanta"/>
        <s v="Tieda"/>
        <s v="Customic"/>
        <s v="15 anos Laura"/>
        <s v="Aluguel Apto Cachoeirinha"/>
        <s v="Aluguel Santa Maria B3 102"/>
        <s v="Aluguel Santa Maria H3 105"/>
        <s v="HMV"/>
        <s v="Parcelamento Carro"/>
        <s v="Ajuda Gladis"/>
        <s v="Curso Laura"/>
        <s v="Oculos Naira"/>
        <s v="CRA - RS"/>
        <s v="Gasolina"/>
        <s v="Mercado"/>
        <s v="Estacionamento POA"/>
        <s v="Quinto Andar"/>
        <s v="Aluguel Casa Gravataí"/>
        <s v="Caixa Apto Cachoeirinha"/>
        <s v="Condomínio POA"/>
        <s v="Convênio Cauzzo Mais"/>
        <s v="Cooparticipação Unimed"/>
        <s v="Pós Naira"/>
        <s v="Internet SM"/>
        <s v="Telefone + internet CLARO"/>
        <s v="Rescisão contrato apto POA"/>
        <s v="Luz Apto Poa"/>
        <s v="Luz Apto SM"/>
        <s v="Claro Naira"/>
        <s v="Claro Rodrigo"/>
        <s v="Caixa Casa Canoas"/>
        <s v="Parcela Compra Casa Gravataí"/>
        <s v="Rescisão contrato apto SM"/>
        <s v="Viagens POA"/>
        <s v="Combustível SM"/>
        <s v="Alimentação Mensal"/>
        <s v="Empréstimo"/>
        <s v="Farmácia"/>
        <m/>
      </sharedItems>
    </cacheField>
    <cacheField name="Data Vencimento" numFmtId="168">
      <sharedItems containsDate="1" containsString="0" containsBlank="1">
        <d v="2025-08-18T00:00:00Z"/>
        <d v="2025-09-05T00:00:00Z"/>
        <d v="2026-01-01T00:00:00Z"/>
        <d v="2025-12-05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6-01-02T00:00:00Z"/>
        <d v="2026-01-05T00:00:00Z"/>
        <d v="2025-09-26T00:00:00Z"/>
        <d v="2025-10-01T00:00:00Z"/>
        <d v="2025-11-01T00:00:00Z"/>
        <d v="2025-12-01T00:00:00Z"/>
        <d v="2025-10-02T00:00:00Z"/>
        <d v="2025-10-03T00:00:00Z"/>
        <d v="2026-01-09T00:00:00Z"/>
        <d v="2025-10-04T00:00:00Z"/>
        <d v="2025-10-05T00:00:00Z"/>
        <d v="2025-10-07T00:00:00Z"/>
        <d v="2026-01-10T00:00:00Z"/>
        <d v="2025-10-10T00:00:00Z"/>
        <d v="2025-10-11T00:00:00Z"/>
        <d v="2025-10-15T00:00:00Z"/>
        <d v="2025-09-10T00:00:00Z"/>
        <d v="2025-10-17T00:00:00Z"/>
        <d v="2025-10-18T00:00:00Z"/>
        <d v="2025-10-25T00:00:00Z"/>
        <d v="2025-10-31T00:00:00Z"/>
        <d v="2026-01-15T00:00:00Z"/>
        <d v="2026-01-16T00:00:00Z"/>
        <d v="2026-01-23T00:00:00Z"/>
        <d v="2026-01-30T00:00:00Z"/>
        <d v="2026-02-01T00:00:00Z"/>
        <d v="2025-11-02T00:00:00Z"/>
        <d v="2025-11-03T00:00:00Z"/>
        <d v="2025-11-05T00:00:00Z"/>
        <d v="2025-11-06T00:00:00Z"/>
        <d v="2025-11-08T00:00:00Z"/>
        <d v="2025-11-09T00:00:00Z"/>
        <d v="2025-11-10T00:00:00Z"/>
        <d v="2025-11-12T00:00:00Z"/>
        <d v="2025-11-14T00:00:00Z"/>
        <d v="2025-11-15T00:00:00Z"/>
        <d v="2026-02-05T00:00:00Z"/>
        <d v="2025-11-19T00:00:00Z"/>
        <d v="2025-11-21T00:00:00Z"/>
        <d v="2025-11-22T00:00:00Z"/>
        <d v="2025-11-29T00:00:00Z"/>
        <d v="2025-12-10T00:00:00Z"/>
        <d v="2026-02-10T00:00:00Z"/>
        <d v="2026-02-16T00:00:00Z"/>
        <d v="2026-03-01T00:00:00Z"/>
        <d v="2027-01-10T00:00:00Z"/>
        <d v="2027-02-10T00:00:00Z"/>
        <d v="2027-03-10T00:00:00Z"/>
        <d v="2026-03-05T00:00:00Z"/>
        <d v="2026-03-10T00:00:00Z"/>
        <d v="2026-03-13T00:00:00Z"/>
        <d v="2026-03-16T00:00:00Z"/>
        <d v="2026-04-01T00:00:00Z"/>
        <d v="2026-04-05T00:00:00Z"/>
        <d v="2025-12-02T00:00:00Z"/>
        <d v="2025-09-08T00:00:00Z"/>
        <d v="2025-12-06T00:00:00Z"/>
        <d v="2025-12-13T00:00:00Z"/>
        <d v="2025-12-15T00:00:00Z"/>
        <d v="2025-12-20T00:00:00Z"/>
        <d v="2025-12-27T00:00:00Z"/>
        <d v="2025-12-31T00:00:00Z"/>
        <d v="2026-04-10T00:00:00Z"/>
        <d v="2026-04-20T00:00:00Z"/>
        <d v="2026-05-05T00:00:00Z"/>
        <d v="2026-05-10T00:00:00Z"/>
        <d v="2026-05-13T00:00:00Z"/>
        <d v="2026-06-05T00:00:00Z"/>
        <d v="2026-06-10T00:00:00Z"/>
        <d v="2026-06-13T00:00:00Z"/>
        <d v="2026-07-05T00:00:00Z"/>
        <d v="2026-07-10T00:00:00Z"/>
        <d v="2026-08-05T00:00:00Z"/>
        <d v="2026-08-10T00:00:00Z"/>
        <d v="2026-09-05T00:00:00Z"/>
        <d v="2026-09-10T00:00:00Z"/>
        <d v="2026-10-05T00:00:00Z"/>
        <d v="2026-10-10T00:00:00Z"/>
        <d v="2026-11-05T00:00:00Z"/>
        <d v="2026-11-10T00:00:00Z"/>
        <d v="2026-11-15T00:00:00Z"/>
        <d v="2026-12-05T00:00:00Z"/>
        <d v="2026-12-10T00:00:00Z"/>
        <d v="2027-01-01T00:00:00Z"/>
        <d v="2026-12-15T00:00:00Z"/>
        <d v="2026-05-31T00:00:00Z"/>
        <d v="2026-06-30T00:00:00Z"/>
        <d v="2026-07-31T00:00:00Z"/>
        <d v="2026-08-31T00:00:00Z"/>
        <d v="2026-09-30T00:00:00Z"/>
        <d v="2026-10-31T00:00:00Z"/>
        <d v="2026-11-30T00:00:00Z"/>
        <d v="2026-05-08T00:00:00Z"/>
        <d v="2026-06-08T00:00:00Z"/>
        <d v="2026-07-08T00:00:00Z"/>
        <d v="2026-08-08T00:00:00Z"/>
        <m/>
      </sharedItems>
    </cacheField>
    <cacheField name="Valor" numFmtId="169">
      <sharedItems containsString="0" containsBlank="1" containsNumber="1">
        <n v="-298.87"/>
        <n v="-411.24"/>
        <n v="-146.14"/>
        <n v="-398.89"/>
        <n v="-695.76"/>
        <n v="-2000.0"/>
        <n v="-1000.0"/>
        <n v="19000.0"/>
        <n v="-100.0"/>
        <n v="-800.0"/>
        <n v="-550.0"/>
        <n v="-379.5"/>
        <n v="-388.13"/>
        <n v="-1324.53"/>
        <n v="-1219.77"/>
        <n v="-4000.0"/>
        <n v="-998.68"/>
        <n v="-700.0"/>
        <n v="-1924.0"/>
        <n v="750.0"/>
        <n v="900.0"/>
        <n v="0.0"/>
        <n v="-929.98"/>
        <n v="1703.66"/>
        <n v="-810.0"/>
        <n v="424.35"/>
        <n v="-278.0"/>
        <n v="-150.0"/>
        <n v="-1684.54"/>
        <n v="-58.96"/>
        <n v="-50.0"/>
        <n v="-200.0"/>
        <n v="-560.31"/>
        <n v="-395.06"/>
        <n v="-280.0"/>
        <n v="800.0"/>
        <n v="-2338.88"/>
        <n v="450.0"/>
        <n v="-563.17"/>
        <n v="-94.28"/>
        <n v="-600.06"/>
        <n v="-58.47"/>
        <n v="2954.0"/>
        <n v="-2443.71"/>
        <n v="-2202.49"/>
        <n v="-89.8"/>
        <n v="-59.6"/>
        <n v="-318.81"/>
        <n v="-2500.0"/>
        <n v="-89.9"/>
        <n v="-254.81"/>
        <n v="-236.75"/>
        <n v="-402.71"/>
        <n v="-1024.83"/>
        <n v="-3600.0"/>
        <n v="-160.29"/>
        <n v="12500.0"/>
        <n v="-2462.25"/>
        <n v="428.07"/>
        <n v="-95.47"/>
        <n v="-91.86"/>
        <n v="429.11"/>
        <n v="3000.0"/>
        <n v="-1024.21"/>
        <n v="-84.11"/>
        <n v="-250.0"/>
        <n v="400.0"/>
        <n v="1100.0"/>
        <n v="-1500.0"/>
        <n v="-424.0"/>
        <n v="500.0"/>
        <n v="-145.48"/>
        <n v="-3010.0"/>
        <n v="-1244.49"/>
        <n v="1244.49"/>
        <n v="-600.0"/>
        <n v="-450.0"/>
        <n v="-3000.0"/>
        <n v="1000.0"/>
        <n v="-718.07"/>
        <n v="-500.0"/>
        <m/>
      </sharedItems>
    </cacheField>
    <cacheField name="Situação" numFmtId="0">
      <sharedItems containsBlank="1">
        <s v="PAGO"/>
        <s v="NÃO PAGO"/>
        <m/>
      </sharedItems>
    </cacheField>
    <cacheField name="Data Pagamento" numFmtId="168">
      <sharedItems containsDate="1" containsString="0" containsBlank="1">
        <d v="2025-10-01T00:00:00Z"/>
        <d v="2026-01-01T00:00:00Z"/>
        <d v="2025-12-09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m/>
        <d v="2026-01-02T00:00:00Z"/>
        <d v="2026-01-05T00:00:00Z"/>
        <d v="2025-09-26T00:00:00Z"/>
        <d v="2025-11-01T00:00:00Z"/>
        <d v="2025-12-01T00:00:00Z"/>
        <d v="2025-10-03T00:00:00Z"/>
        <d v="2026-01-09T00:00:00Z"/>
        <d v="2025-10-04T00:00:00Z"/>
        <d v="2025-10-07T00:00:00Z"/>
        <d v="2026-01-10T00:00:00Z"/>
        <d v="2025-10-02T00:00:00Z"/>
        <d v="2025-10-10T00:00:00Z"/>
        <d v="2025-10-11T00:00:00Z"/>
        <d v="2025-10-15T00:00:00Z"/>
        <d v="2025-10-17T00:00:00Z"/>
        <d v="2025-10-18T00:00:00Z"/>
        <d v="2025-10-25T00:00:00Z"/>
        <d v="2026-01-15T00:00:00Z"/>
        <d v="2026-01-16T00:00:00Z"/>
        <d v="2026-01-23T00:00:00Z"/>
        <d v="2026-01-30T00:00:00Z"/>
        <d v="2026-02-01T00:00:00Z"/>
        <d v="2025-11-02T00:00:00Z"/>
        <d v="2025-11-11T00:00:00Z"/>
        <d v="2025-11-05T00:00:00Z"/>
        <d v="2025-11-06T00:00:00Z"/>
        <d v="2025-11-08T00:00:00Z"/>
        <d v="2025-11-09T00:00:00Z"/>
        <d v="2025-10-31T00:00:00Z"/>
        <d v="2025-11-10T00:00:00Z"/>
        <d v="2025-11-14T00:00:00Z"/>
        <d v="2025-11-15T00:00:00Z"/>
        <d v="2026-02-05T00:00:00Z"/>
        <d v="2025-11-22T00:00:00Z"/>
        <d v="2025-11-29T00:00:00Z"/>
        <d v="2025-12-10T00:00:00Z"/>
        <d v="2026-02-10T00:00:00Z"/>
        <d v="2026-02-16T00:00:00Z"/>
        <d v="2026-03-01T00:00:00Z"/>
        <d v="2027-01-10T00:00:00Z"/>
        <d v="2027-02-10T00:00:00Z"/>
        <d v="2027-03-10T00:00:00Z"/>
        <d v="2026-05-05T00:00:00Z"/>
        <d v="2026-03-05T00:00:00Z"/>
        <d v="2026-03-10T00:00:00Z"/>
        <d v="2026-03-13T00:00:00Z"/>
        <d v="2026-03-16T00:00:00Z"/>
        <d v="2026-04-01T00:00:00Z"/>
        <d v="2026-04-05T00:00:00Z"/>
        <d v="2025-12-02T00:00:00Z"/>
        <d v="2025-12-05T00:00:00Z"/>
        <d v="2025-09-08T00:00:00Z"/>
        <d v="2025-12-06T00:00:00Z"/>
        <d v="2025-12-13T00:00:00Z"/>
        <d v="2025-12-15T00:00:00Z"/>
        <d v="2025-12-20T00:00:00Z"/>
        <d v="2025-12-27T00:00:00Z"/>
        <d v="2026-05-15T00:00:00Z"/>
        <d v="2026-04-10T00:00:00Z"/>
        <d v="2026-04-19T00:00:00Z"/>
        <d v="2026-04-20T00:00:00Z"/>
        <d v="2026-05-10T00:00:00Z"/>
        <d v="2026-05-13T00:00:00Z"/>
        <d v="2026-06-05T00:00:00Z"/>
        <d v="2026-06-10T00:00:00Z"/>
        <d v="2026-06-13T00:00:00Z"/>
        <d v="2026-07-05T00:00:00Z"/>
        <d v="2026-07-10T00:00:00Z"/>
        <d v="2026-08-05T00:00:00Z"/>
        <d v="2026-08-10T00:00:00Z"/>
        <d v="2026-09-05T00:00:00Z"/>
        <d v="2026-09-10T00:00:00Z"/>
        <d v="2026-10-05T00:00:00Z"/>
        <d v="2026-10-10T00:00:00Z"/>
        <d v="2026-11-05T00:00:00Z"/>
        <d v="2026-11-10T00:00:00Z"/>
        <d v="2026-12-05T00:00:00Z"/>
        <d v="2026-12-10T00:00:00Z"/>
        <d v="2027-01-01T00:00:00Z"/>
        <d v="2026-05-31T00:00:00Z"/>
        <d v="2026-06-30T00:00:00Z"/>
        <d v="2026-07-31T00:00:00Z"/>
        <d v="2026-08-31T00:00:00Z"/>
        <d v="2026-09-30T00:00:00Z"/>
        <d v="2026-10-31T00:00:00Z"/>
        <d v="2026-11-30T00:00:00Z"/>
        <d v="2026-05-08T00:00:00Z"/>
        <d v="2026-06-08T00:00:00Z"/>
        <d v="2026-07-08T00:00:00Z"/>
        <d v="2026-08-08T00:00:00Z"/>
      </sharedItems>
    </cacheField>
    <cacheField name="Forma Pagamento" numFmtId="0">
      <sharedItems containsBlank="1">
        <s v="Conta Corrente"/>
        <m/>
      </sharedItems>
    </cacheField>
    <cacheField name="Tipo" numFmtId="0">
      <sharedItems containsBlank="1">
        <s v="Saída"/>
        <s v="Entrada"/>
        <m/>
      </sharedItems>
    </cacheField>
    <cacheField name="Observação" numFmtId="0">
      <sharedItems containsBlank="1">
        <s v="Energia atrasada de agosto"/>
        <m/>
        <s v="Provisao"/>
        <s v="Provisão"/>
        <s v="Desconto de R$ 630,64 de farmácia"/>
        <s v="Ultima parcela"/>
        <s v="Darfweb previdenciário e retenções"/>
        <s v="Previsão de despesa"/>
        <s v="Santander"/>
        <s v="Parcelamento MEI 02/60"/>
        <s v="Nubank"/>
        <s v="Mensalidade Contabilidade"/>
        <s v="Previsão de rescisão"/>
        <s v="Darfweb previdenciário e retenções 09_2025"/>
        <s v="Darfweb previdenciário e retenções 10_2025"/>
        <s v="DAS Simples Nacional 10_2025"/>
        <s v="Previsão"/>
        <s v="Ref.ago/25"/>
        <s v="Empréstimo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2:K114" sheet="Página1"/>
  </cacheSource>
  <cacheFields>
    <cacheField name="Competência" numFmtId="0">
      <sharedItems containsDate="1" containsString="0" containsBlank="1">
        <m/>
        <d v="2025-08-01T00:00:00Z"/>
        <d v="2025-09-01T00:00:00Z"/>
        <d v="2025-10-01T00:00:00Z"/>
      </sharedItems>
    </cacheField>
    <cacheField name="DIA/MÊS" numFmtId="0">
      <sharedItems containsDate="1" containsString="0" containsBlank="1">
        <m/>
        <d v="2025-08-05T00:00:00Z"/>
        <d v="2025-08-04T00:00:00Z"/>
        <d v="2025-08-08T00:00:00Z"/>
        <d v="2025-08-10T00:00:00Z"/>
        <d v="2025-08-15T00:00:00Z"/>
        <d v="2025-08-17T00:00:00Z"/>
        <d v="2025-08-22T00:00:00Z"/>
        <d v="2025-08-25T00:00:00Z"/>
        <d v="2025-08-26T00:00:00Z"/>
        <d v="2025-08-29T00:00:00Z"/>
        <d v="2025-09-01T00:00:00Z"/>
        <d v="2025-09-02T00:00:00Z"/>
        <d v="2025-09-04T00:00:00Z"/>
        <d v="2025-09-05T00:00:00Z"/>
        <d v="2025-09-10T00:00:00Z"/>
        <d v="2025-09-07T00:00:00Z"/>
        <d v="2025-09-12T00:00:00Z"/>
        <d v="2025-09-14T00:00:00Z"/>
        <d v="2025-09-15T00:00:00Z"/>
        <d v="2025-09-17T00:00:00Z"/>
        <d v="2025-09-19T00:00:00Z"/>
        <d v="2025-09-21T00:00:00Z"/>
        <d v="2025-09-23T00:00:00Z"/>
        <d v="2025-09-25T00:00:00Z"/>
        <d v="2025-09-26T00:00:00Z"/>
        <d v="2025-09-29T00:00:00Z"/>
        <d v="2025-10-01T00:00:00Z"/>
        <d v="2025-10-02T00:00:00Z"/>
        <d v="2025-10-04T00:00:00Z"/>
        <d v="2025-10-05T00:00:00Z"/>
        <d v="2025-10-07T00:00:00Z"/>
        <d v="2025-10-10T00:00:00Z"/>
        <d v="2025-10-15T00:00:00Z"/>
        <d v="2025-10-16T00:00:00Z"/>
        <d v="2025-10-17T00:00:00Z"/>
      </sharedItems>
    </cacheField>
    <cacheField name="VALOR">
      <sharedItems containsBlank="1" containsMixedTypes="1" containsNumber="1">
        <m/>
        <n v="19000.0"/>
        <n v="-198.91"/>
        <n v="-424.0"/>
        <n v="-278.0"/>
        <n v="-100.0"/>
        <n v="-1215.76"/>
        <n v="-387.61"/>
        <n v="-5000.0"/>
        <n v="-2722.88"/>
        <n v="-500.0"/>
        <n v="-280.0"/>
        <n v="-11.0"/>
        <n v="-250.65"/>
        <n v="-311.71"/>
        <n v="-554.85"/>
        <n v="-1017.86"/>
        <n v="350.0"/>
        <n v="687.3000000000001"/>
        <n v="2954.0"/>
        <s v=" "/>
        <n v="-865.8"/>
        <n v="-1000.0"/>
        <n v="-550.0"/>
        <n v="-750.0"/>
        <n v="-350.0"/>
        <n v="750.0"/>
        <n v="1200.0"/>
        <n v="-400.0"/>
        <n v="-688.19"/>
        <n v="-54.99"/>
        <n v="-200.0"/>
        <n v="-52.63"/>
        <n v="0.0"/>
        <n v="1488.58"/>
        <n v="-264.56"/>
        <n v="-58.96"/>
        <n v="-1603.37"/>
        <n v="-1192.09"/>
        <n v="-810.0"/>
        <n v="-719.35"/>
        <n v="-2500.0"/>
        <n v="-150.0"/>
        <n v="-6000.0"/>
        <n v="-2249.88"/>
        <n v="-114.76"/>
        <n v="508.0"/>
        <n v="450.0"/>
        <n v="-563.16"/>
        <n v="-255.0"/>
        <n v="-1562.93"/>
        <n v="-597.0"/>
        <n v="2944.89"/>
        <n v="-2000.0"/>
        <n v="-800.0"/>
        <n v="-379.5"/>
        <n v="-404.92"/>
        <n v="-256.13"/>
        <n v="-250.0"/>
        <n v="-3100.0"/>
        <n v="9279.67"/>
      </sharedItems>
    </cacheField>
    <cacheField name="DESCRIÇÃO" numFmtId="0">
      <sharedItems containsBlank="1">
        <m/>
        <s v="COFELMA"/>
        <s v="cheque especial do Santander"/>
        <s v="Emprestimo Tieda"/>
        <s v="Laura Curso"/>
        <s v="Gladis"/>
        <s v="contador Rodrigo"/>
        <s v="contador Rodrigo - mensal"/>
        <s v="Elinilson parc carro"/>
        <s v="Quinto Andar"/>
        <s v="Pgto crédito Nubank"/>
        <s v="Estacionamento POA"/>
        <s v="Café Setor"/>
        <s v="RGE Ape Cachoeirinha (atrasada)"/>
        <s v="Passagens Rodrigo"/>
        <s v="Condominio Amazonas"/>
        <s v="Caixa Economica"/>
        <s v="Unimed Malu"/>
        <s v="Design cliente Alice 1/2"/>
        <s v="SALDO PARCIAL"/>
        <s v="MOINHOS"/>
        <s v="Cartão de crédito Nubank"/>
        <s v="Sr José"/>
        <s v="Tieda"/>
        <s v="Samanta"/>
        <s v="Iphone Bruna"/>
        <s v="Customic"/>
        <s v="Fatura Claro Wifi"/>
        <s v="SALDO TOTAL"/>
        <s v="cheque especial Santander"/>
        <s v="DARF L&amp;B Solutions"/>
        <s v="Farmacia Malu"/>
        <s v="Mercado Finde"/>
        <s v="Gasolina"/>
        <s v="Desing cliente Belk 2/2"/>
        <s v="Taxa baixa do MEI"/>
        <s v="Condominio Amazonas (em atraso)"/>
        <s v="CRA-RS"/>
        <s v="Despesas da semana mercado e gasolina"/>
        <s v="boleto contabilidade atrasado"/>
        <s v="impostos L&amp;B Solutions"/>
        <s v="Cássio"/>
        <s v="Fernando"/>
        <s v="Cartão Crédito Santander"/>
        <s v="Mensalidade Unimed Malu"/>
        <s v="Coparticipação Unimed Malu"/>
        <s v="Sam oculos"/>
        <s v="Energia CEEE Ape Poa"/>
        <s v="Aluguel Apto Cachoeirinha"/>
        <s v="Aluguel Casa Gravataí"/>
        <s v="Fatura Claro"/>
        <s v="Desing cliente Alice 2/2"/>
        <s v="15 ANOS LAURA"/>
        <s v="Condominio Porto Alegre"/>
        <s v="SALDO TOTAL BANCO"/>
        <s v="Cartão de crédito Santander"/>
        <s v="RGE Ape Cachoeirinha"/>
      </sharedItems>
    </cacheField>
    <cacheField name="TIPO" numFmtId="0">
      <sharedItems containsBlank="1">
        <m/>
        <s v="Receita"/>
        <s v="Despesa"/>
        <s v="Saldo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2:K114" sheet="Página1"/>
  </cacheSource>
  <cacheFields>
    <cacheField name="DIA/MÊS" numFmtId="0">
      <sharedItems containsDate="1" containsString="0" containsBlank="1">
        <m/>
        <d v="2025-08-05T00:00:00Z"/>
        <d v="2025-08-04T00:00:00Z"/>
        <d v="2025-08-08T00:00:00Z"/>
        <d v="2025-08-10T00:00:00Z"/>
        <d v="2025-08-15T00:00:00Z"/>
        <d v="2025-08-17T00:00:00Z"/>
        <d v="2025-08-22T00:00:00Z"/>
        <d v="2025-08-25T00:00:00Z"/>
        <d v="2025-08-26T00:00:00Z"/>
        <d v="2025-08-29T00:00:00Z"/>
        <d v="2025-09-01T00:00:00Z"/>
        <d v="2025-09-02T00:00:00Z"/>
        <d v="2025-09-04T00:00:00Z"/>
        <d v="2025-09-05T00:00:00Z"/>
        <d v="2025-09-10T00:00:00Z"/>
        <d v="2025-09-07T00:00:00Z"/>
        <d v="2025-09-12T00:00:00Z"/>
        <d v="2025-09-14T00:00:00Z"/>
        <d v="2025-09-15T00:00:00Z"/>
        <d v="2025-09-17T00:00:00Z"/>
        <d v="2025-09-19T00:00:00Z"/>
        <d v="2025-09-21T00:00:00Z"/>
        <d v="2025-09-23T00:00:00Z"/>
        <d v="2025-09-25T00:00:00Z"/>
        <d v="2025-09-26T00:00:00Z"/>
        <d v="2025-09-29T00:00:00Z"/>
        <d v="2025-10-01T00:00:00Z"/>
        <d v="2025-10-02T00:00:00Z"/>
        <d v="2025-10-04T00:00:00Z"/>
        <d v="2025-10-05T00:00:00Z"/>
        <d v="2025-10-07T00:00:00Z"/>
        <d v="2025-10-10T00:00:00Z"/>
        <d v="2025-10-15T00:00:00Z"/>
        <d v="2025-10-16T00:00:00Z"/>
        <d v="2025-10-17T00:00:00Z"/>
      </sharedItems>
    </cacheField>
    <cacheField name="VALOR">
      <sharedItems containsBlank="1" containsMixedTypes="1" containsNumber="1">
        <m/>
        <n v="19000.0"/>
        <n v="-198.91"/>
        <n v="-424.0"/>
        <n v="-278.0"/>
        <n v="-100.0"/>
        <n v="-1215.76"/>
        <n v="-387.61"/>
        <n v="-5000.0"/>
        <n v="-2722.88"/>
        <n v="-500.0"/>
        <n v="-280.0"/>
        <n v="-11.0"/>
        <n v="-250.65"/>
        <n v="-311.71"/>
        <n v="-554.85"/>
        <n v="-1017.86"/>
        <n v="350.0"/>
        <n v="687.3000000000001"/>
        <n v="2954.0"/>
        <s v=" "/>
        <n v="-865.8"/>
        <n v="-1000.0"/>
        <n v="-550.0"/>
        <n v="-750.0"/>
        <n v="-350.0"/>
        <n v="750.0"/>
        <n v="1200.0"/>
        <n v="-400.0"/>
        <n v="-688.19"/>
        <n v="-54.99"/>
        <n v="-200.0"/>
        <n v="-52.63"/>
        <n v="0.0"/>
        <n v="1488.58"/>
        <n v="-264.56"/>
        <n v="-58.96"/>
        <n v="-1603.37"/>
        <n v="-1192.09"/>
        <n v="-810.0"/>
        <n v="-719.35"/>
        <n v="-2500.0"/>
        <n v="-150.0"/>
        <n v="-6000.0"/>
        <n v="-2249.88"/>
        <n v="-114.76"/>
        <n v="508.0"/>
        <n v="450.0"/>
        <n v="-563.16"/>
        <n v="-255.0"/>
        <n v="-1562.93"/>
        <n v="-597.0"/>
        <n v="2944.89"/>
        <n v="-2000.0"/>
        <n v="-800.0"/>
        <n v="-379.5"/>
        <n v="-404.92"/>
        <n v="-256.13"/>
        <n v="-250.0"/>
        <n v="-3100.0"/>
        <n v="9279.67"/>
      </sharedItems>
    </cacheField>
    <cacheField name="DESCRIÇÃO" numFmtId="0">
      <sharedItems containsBlank="1">
        <m/>
        <s v="COFELMA"/>
        <s v="cheque especial do Santander"/>
        <s v="Emprestimo Tieda"/>
        <s v="Laura Curso"/>
        <s v="Gladis"/>
        <s v="contador Rodrigo"/>
        <s v="contador Rodrigo - mensal"/>
        <s v="Elinilson parc carro"/>
        <s v="Quinto Andar"/>
        <s v="Pgto crédito Nubank"/>
        <s v="Estacionamento POA"/>
        <s v="Café Setor"/>
        <s v="RGE Ape Cachoeirinha (atrasada)"/>
        <s v="Passagens Rodrigo"/>
        <s v="Condominio Amazonas"/>
        <s v="Caixa Economica"/>
        <s v="Unimed Malu"/>
        <s v="Design cliente Alice 1/2"/>
        <s v="SALDO PARCIAL"/>
        <s v="MOINHOS"/>
        <s v="Cartão de crédito Nubank"/>
        <s v="Sr José"/>
        <s v="Tieda"/>
        <s v="Samanta"/>
        <s v="Iphone Bruna"/>
        <s v="Customic"/>
        <s v="Fatura Claro Wifi"/>
        <s v="SALDO TOTAL"/>
        <s v="cheque especial Santander"/>
        <s v="DARF L&amp;B Solutions"/>
        <s v="Farmacia Malu"/>
        <s v="Mercado Finde"/>
        <s v="Gasolina"/>
        <s v="Desing cliente Belk 2/2"/>
        <s v="Taxa baixa do MEI"/>
        <s v="Condominio Amazonas (em atraso)"/>
        <s v="CRA-RS"/>
        <s v="Despesas da semana mercado e gasolina"/>
        <s v="boleto contabilidade atrasado"/>
        <s v="impostos L&amp;B Solutions"/>
        <s v="Cássio"/>
        <s v="Fernando"/>
        <s v="Cartão Crédito Santander"/>
        <s v="Mensalidade Unimed Malu"/>
        <s v="Coparticipação Unimed Malu"/>
        <s v="Sam oculos"/>
        <s v="Energia CEEE Ape Poa"/>
        <s v="Aluguel Apto Cachoeirinha"/>
        <s v="Aluguel Casa Gravataí"/>
        <s v="Fatura Claro"/>
        <s v="Desing cliente Alice 2/2"/>
        <s v="15 ANOS LAURA"/>
        <s v="Condominio Porto Alegre"/>
        <s v="SALDO TOTAL BANCO"/>
        <s v="Cartão de crédito Santander"/>
        <s v="RGE Ape Cachoeirinha"/>
      </sharedItems>
    </cacheField>
    <cacheField name="TIPO" numFmtId="0">
      <sharedItems containsBlank="1">
        <m/>
        <s v="Receita"/>
        <s v="Despesa"/>
        <s v="Sald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DINAMICA ORÇAMENTO" cacheId="0" dataCaption="" colGrandTotals="0" compact="0" compactData="0">
  <location ref="A3:C13" firstHeaderRow="0" firstDataRow="1" firstDataCol="1" rowPageCount="1" colPageCount="1"/>
  <pivotFields>
    <pivotField name="Categoria" axis="axisRow" compact="0" outline="0" multipleItemSelectionAllowed="1" showAll="0" sortType="ascending">
      <items>
        <item x="11"/>
        <item x="8"/>
        <item x="10"/>
        <item x="7"/>
        <item x="5"/>
        <item x="1"/>
        <item x="0"/>
        <item x="4"/>
        <item x="2"/>
        <item x="9"/>
        <item x="6"/>
        <item x="3"/>
        <item t="default"/>
      </items>
    </pivotField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a Vencimento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Valor" dataField="1" compact="0" numFmtId="16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Situação" compact="0" outline="0" multipleItemSelectionAllowed="1" showAll="0">
      <items>
        <item x="0"/>
        <item x="1"/>
        <item x="2"/>
        <item t="default"/>
      </items>
    </pivotField>
    <pivotField name="Data Pagamento" axis="axisPage" compact="0" numFmtId="168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x="69"/>
        <item h="1" x="70"/>
        <item h="1" x="71"/>
        <item h="1" x="72"/>
        <item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x="91"/>
        <item h="1" x="92"/>
        <item h="1" x="93"/>
        <item h="1" x="94"/>
        <item h="1" x="95"/>
        <item h="1" x="96"/>
        <item h="1" x="97"/>
        <item x="98"/>
        <item h="1" x="99"/>
        <item h="1" x="100"/>
        <item h="1" x="101"/>
        <item t="default"/>
      </items>
    </pivotField>
    <pivotField name="Forma Pagamento" compact="0" outline="0" multipleItemSelectionAllowed="1" showAll="0">
      <items>
        <item x="0"/>
        <item x="1"/>
        <item t="default"/>
      </items>
    </pivotField>
    <pivotField name="Tipo" axis="axisCol" compact="0" outline="0" multipleItemSelectionAllowed="1" showAll="0" sortType="ascending">
      <items>
        <item x="2"/>
        <item x="1"/>
        <item x="0"/>
        <item t="default"/>
      </items>
    </pivotField>
    <pivotField name="Observ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0"/>
  </rowFields>
  <colFields>
    <field x="7"/>
  </colFields>
  <pageFields>
    <pageField fld="5"/>
  </pageFields>
  <dataFields>
    <dataField name="SUM of Valor" fld="3" baseField="0"/>
  </dataFields>
</pivotTableDefinition>
</file>

<file path=xl/pivotTables/pivotTable2.xml><?xml version="1.0" encoding="utf-8"?>
<pivotTableDefinition xmlns="http://schemas.openxmlformats.org/spreadsheetml/2006/main" name="Tabela dinâmica 2" cacheId="1" dataCaption="" rowGrandTotals="0" colGrandTotals="0" compact="0" compactData="0">
  <location ref="A1:D6" firstHeaderRow="0" firstDataRow="1" firstDataCol="1"/>
  <pivotFields>
    <pivotField name="Competência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DIA/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IPO" axis="axisCol" compact="0" outline="0" multipleItemSelectionAllowed="1" showAll="0" sortType="ascending">
      <items>
        <item h="1" x="0"/>
        <item x="2"/>
        <item x="1"/>
        <item x="3"/>
        <item t="default"/>
      </items>
    </pivotField>
  </pivotFields>
  <rowFields>
    <field x="0"/>
  </rowFields>
  <colFields>
    <field x="4"/>
  </colFields>
  <dataFields>
    <dataField name="SUM of VALOR" fld="2" baseField="0"/>
  </dataFields>
</pivotTableDefinition>
</file>

<file path=xl/pivotTables/pivotTable3.xml><?xml version="1.0" encoding="utf-8"?>
<pivotTableDefinition xmlns="http://schemas.openxmlformats.org/spreadsheetml/2006/main" name="Tabela dinâmica 1" cacheId="2" dataCaption="" compact="0" compactData="0">
  <location ref="A1:E10" firstHeaderRow="0" firstDataRow="0" firstDataCol="0"/>
  <pivotFields>
    <pivotField name="DIA/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VA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IPO" compact="0" outline="0" multipleItemSelectionAllowed="1" showAll="0">
      <items>
        <item x="0"/>
        <item x="1"/>
        <item x="2"/>
        <item x="3"/>
        <item t="default"/>
      </items>
    </pivotField>
  </pivotFields>
</pivotTableDefinition>
</file>

<file path=xl/tables/table1.xml><?xml version="1.0" encoding="utf-8"?>
<table xmlns="http://schemas.openxmlformats.org/spreadsheetml/2006/main" ref="A1:I459" displayName="TB_BASE" name="TB_BASE" id="1">
  <autoFilter ref="$A$1:$I$459">
    <filterColumn colId="1">
      <filters>
        <filter val="Luz Apto SM"/>
      </filters>
    </filterColumn>
  </autoFilter>
  <tableColumns count="9">
    <tableColumn name="Categoria" id="1"/>
    <tableColumn name="Descrição" id="2"/>
    <tableColumn name="Data Vencimento" id="3"/>
    <tableColumn name="Valor" id="4"/>
    <tableColumn name="Situação" id="5"/>
    <tableColumn name="Data Pagamento" id="6"/>
    <tableColumn name="Forma Pagamento" id="7"/>
    <tableColumn name="Tipo" id="8"/>
    <tableColumn name="Observação" id="9"/>
  </tableColumns>
  <tableStyleInfo name="BASE DE DADOS-style" showColumnStripes="0" showFirstColumn="1" showLastColumn="1" showRowStripes="1"/>
</table>
</file>

<file path=xl/tables/table2.xml><?xml version="1.0" encoding="utf-8"?>
<table xmlns="http://schemas.openxmlformats.org/spreadsheetml/2006/main" ref="A1:E190" displayName="Diário" name="Diário" id="2">
  <tableColumns count="5">
    <tableColumn name="DATA" id="1"/>
    <tableColumn name="Saída" id="2"/>
    <tableColumn name="Entrada" id="3"/>
    <tableColumn name="TOTAL DO DIA" id="4"/>
    <tableColumn name="Saldo" id="5"/>
  </tableColumns>
  <tableStyleInfo name="DIÁ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88"/>
    <col customWidth="1" min="2" max="2" width="8.5"/>
    <col customWidth="1" min="3" max="3" width="24.88"/>
    <col customWidth="1" min="4" max="4" width="6.63"/>
    <col customWidth="1" min="7" max="7" width="10.25"/>
    <col customWidth="1" min="8" max="8" width="13.5"/>
    <col customWidth="1" min="9" max="9" width="10.5"/>
    <col customWidth="1" min="10" max="10" width="28.63"/>
    <col customWidth="1" min="11" max="11" width="8.5"/>
    <col customWidth="1" min="12" max="12" width="24.88"/>
  </cols>
  <sheetData>
    <row r="1">
      <c r="A1" s="1" t="s">
        <v>0</v>
      </c>
      <c r="B1" s="2"/>
      <c r="C1" s="2"/>
      <c r="D1" s="2"/>
      <c r="E1" s="3"/>
      <c r="F1" s="3"/>
      <c r="G1" s="4"/>
      <c r="H1" s="5"/>
      <c r="I1" s="2"/>
      <c r="J1" s="2"/>
      <c r="K1" s="2"/>
      <c r="L1" s="6"/>
      <c r="M1" s="3"/>
      <c r="N1" s="3"/>
    </row>
    <row r="2">
      <c r="A2" s="7" t="s">
        <v>1</v>
      </c>
      <c r="B2" s="8" t="s">
        <v>2</v>
      </c>
      <c r="C2" s="7" t="s">
        <v>3</v>
      </c>
      <c r="D2" s="9" t="s">
        <v>4</v>
      </c>
      <c r="E2" s="3"/>
      <c r="F2" s="3"/>
      <c r="G2" s="10" t="s">
        <v>5</v>
      </c>
      <c r="H2" s="11" t="s">
        <v>1</v>
      </c>
      <c r="I2" s="8" t="s">
        <v>2</v>
      </c>
      <c r="J2" s="7" t="s">
        <v>3</v>
      </c>
      <c r="K2" s="9" t="s">
        <v>4</v>
      </c>
      <c r="L2" s="6"/>
      <c r="M2" s="3"/>
      <c r="N2" s="3"/>
    </row>
    <row r="3">
      <c r="A3" s="12">
        <v>45870.0</v>
      </c>
      <c r="B3" s="13">
        <v>1093.91</v>
      </c>
      <c r="C3" s="7" t="s">
        <v>6</v>
      </c>
      <c r="D3" s="14" t="s">
        <v>7</v>
      </c>
      <c r="E3" s="3"/>
      <c r="F3" s="3"/>
      <c r="G3" s="15"/>
      <c r="H3" s="16"/>
      <c r="I3" s="17"/>
      <c r="J3" s="18"/>
      <c r="K3" s="19"/>
      <c r="L3" s="20"/>
      <c r="M3" s="3"/>
      <c r="N3" s="3"/>
    </row>
    <row r="4">
      <c r="A4" s="12">
        <v>45870.0</v>
      </c>
      <c r="B4" s="13">
        <v>2081.75</v>
      </c>
      <c r="C4" s="7" t="s">
        <v>8</v>
      </c>
      <c r="D4" s="14" t="s">
        <v>7</v>
      </c>
      <c r="E4" s="3"/>
      <c r="F4" s="3"/>
      <c r="G4" s="21">
        <v>45870.0</v>
      </c>
      <c r="H4" s="22">
        <v>45874.0</v>
      </c>
      <c r="I4" s="13">
        <v>19000.0</v>
      </c>
      <c r="J4" s="7" t="s">
        <v>9</v>
      </c>
      <c r="K4" s="14" t="s">
        <v>7</v>
      </c>
      <c r="L4" s="6"/>
      <c r="M4" s="3"/>
      <c r="N4" s="3"/>
    </row>
    <row r="5">
      <c r="A5" s="12">
        <v>45870.0</v>
      </c>
      <c r="B5" s="13">
        <v>2153.67</v>
      </c>
      <c r="C5" s="7" t="s">
        <v>10</v>
      </c>
      <c r="D5" s="14" t="s">
        <v>7</v>
      </c>
      <c r="E5" s="3"/>
      <c r="F5" s="3"/>
      <c r="G5" s="21">
        <v>45870.0</v>
      </c>
      <c r="H5" s="22">
        <v>45874.0</v>
      </c>
      <c r="I5" s="23">
        <v>-198.91</v>
      </c>
      <c r="J5" s="24" t="s">
        <v>11</v>
      </c>
      <c r="K5" s="14" t="s">
        <v>12</v>
      </c>
      <c r="L5" s="6"/>
      <c r="M5" s="3"/>
      <c r="N5" s="3"/>
    </row>
    <row r="6">
      <c r="A6" s="12">
        <v>45870.0</v>
      </c>
      <c r="B6" s="25">
        <v>-416.27</v>
      </c>
      <c r="C6" s="7" t="s">
        <v>13</v>
      </c>
      <c r="D6" s="14" t="s">
        <v>12</v>
      </c>
      <c r="E6" s="3"/>
      <c r="F6" s="3"/>
      <c r="G6" s="21">
        <v>45870.0</v>
      </c>
      <c r="H6" s="22">
        <v>45873.0</v>
      </c>
      <c r="I6" s="23">
        <v>-424.0</v>
      </c>
      <c r="J6" s="26" t="s">
        <v>14</v>
      </c>
      <c r="K6" s="14" t="s">
        <v>12</v>
      </c>
      <c r="L6" s="6"/>
      <c r="M6" s="3"/>
      <c r="N6" s="3"/>
    </row>
    <row r="7">
      <c r="A7" s="12">
        <v>45870.0</v>
      </c>
      <c r="B7" s="23">
        <v>-350.0</v>
      </c>
      <c r="C7" s="26" t="s">
        <v>15</v>
      </c>
      <c r="D7" s="14" t="s">
        <v>12</v>
      </c>
      <c r="E7" s="3"/>
      <c r="F7" s="3"/>
      <c r="G7" s="21">
        <v>45870.0</v>
      </c>
      <c r="H7" s="22">
        <v>45873.0</v>
      </c>
      <c r="I7" s="23">
        <v>-278.0</v>
      </c>
      <c r="J7" s="26" t="s">
        <v>16</v>
      </c>
      <c r="K7" s="14" t="s">
        <v>12</v>
      </c>
      <c r="L7" s="6"/>
      <c r="M7" s="3"/>
      <c r="N7" s="3"/>
    </row>
    <row r="8">
      <c r="A8" s="12">
        <v>45870.0</v>
      </c>
      <c r="B8" s="23">
        <v>-750.0</v>
      </c>
      <c r="C8" s="26" t="s">
        <v>17</v>
      </c>
      <c r="D8" s="14" t="s">
        <v>12</v>
      </c>
      <c r="E8" s="3"/>
      <c r="F8" s="3"/>
      <c r="G8" s="21">
        <v>45870.0</v>
      </c>
      <c r="H8" s="22">
        <v>45874.0</v>
      </c>
      <c r="I8" s="23">
        <v>-100.0</v>
      </c>
      <c r="J8" s="27" t="s">
        <v>18</v>
      </c>
      <c r="K8" s="14" t="s">
        <v>12</v>
      </c>
      <c r="L8" s="6"/>
      <c r="M8" s="3"/>
      <c r="N8" s="3"/>
    </row>
    <row r="9">
      <c r="A9" s="12">
        <v>45870.0</v>
      </c>
      <c r="B9" s="23">
        <v>-1000.0</v>
      </c>
      <c r="C9" s="26" t="s">
        <v>19</v>
      </c>
      <c r="D9" s="14" t="s">
        <v>12</v>
      </c>
      <c r="E9" s="3"/>
      <c r="F9" s="3"/>
      <c r="G9" s="21">
        <v>45870.0</v>
      </c>
      <c r="H9" s="22">
        <v>45874.0</v>
      </c>
      <c r="I9" s="23">
        <v>-1215.76</v>
      </c>
      <c r="J9" s="26" t="s">
        <v>20</v>
      </c>
      <c r="K9" s="14" t="s">
        <v>12</v>
      </c>
      <c r="L9" s="28" t="s">
        <v>21</v>
      </c>
      <c r="M9" s="3"/>
      <c r="N9" s="3"/>
    </row>
    <row r="10">
      <c r="A10" s="12">
        <v>45870.0</v>
      </c>
      <c r="B10" s="23">
        <v>-900.0</v>
      </c>
      <c r="C10" s="26" t="s">
        <v>22</v>
      </c>
      <c r="D10" s="14" t="s">
        <v>12</v>
      </c>
      <c r="E10" s="3"/>
      <c r="F10" s="3"/>
      <c r="G10" s="21">
        <v>45870.0</v>
      </c>
      <c r="H10" s="22">
        <v>45874.0</v>
      </c>
      <c r="I10" s="23">
        <v>-387.61</v>
      </c>
      <c r="J10" s="26" t="s">
        <v>23</v>
      </c>
      <c r="K10" s="14" t="s">
        <v>12</v>
      </c>
      <c r="L10" s="28" t="s">
        <v>21</v>
      </c>
      <c r="M10" s="3"/>
      <c r="N10" s="3"/>
    </row>
    <row r="11">
      <c r="A11" s="3"/>
      <c r="B11" s="29"/>
      <c r="C11" s="30"/>
      <c r="D11" s="31"/>
      <c r="E11" s="3"/>
      <c r="F11" s="3"/>
      <c r="G11" s="21">
        <v>45870.0</v>
      </c>
      <c r="H11" s="22">
        <v>45874.0</v>
      </c>
      <c r="I11" s="32">
        <v>-5000.0</v>
      </c>
      <c r="J11" s="26" t="s">
        <v>24</v>
      </c>
      <c r="K11" s="14" t="s">
        <v>12</v>
      </c>
      <c r="L11" s="28" t="s">
        <v>21</v>
      </c>
      <c r="M11" s="3"/>
      <c r="N11" s="3"/>
    </row>
    <row r="12">
      <c r="A12" s="12">
        <v>45871.0</v>
      </c>
      <c r="B12" s="23">
        <v>-181.93</v>
      </c>
      <c r="C12" s="26" t="s">
        <v>25</v>
      </c>
      <c r="D12" s="14" t="s">
        <v>12</v>
      </c>
      <c r="E12" s="3"/>
      <c r="F12" s="3"/>
      <c r="G12" s="21">
        <v>45870.0</v>
      </c>
      <c r="H12" s="22">
        <v>45874.0</v>
      </c>
      <c r="I12" s="32">
        <v>-2722.88</v>
      </c>
      <c r="J12" s="26" t="s">
        <v>26</v>
      </c>
      <c r="K12" s="14" t="s">
        <v>12</v>
      </c>
      <c r="L12" s="28" t="s">
        <v>21</v>
      </c>
      <c r="M12" s="3"/>
      <c r="N12" s="3"/>
    </row>
    <row r="13">
      <c r="A13" s="12"/>
      <c r="B13" s="23"/>
      <c r="C13" s="26"/>
      <c r="D13" s="14"/>
      <c r="E13" s="3"/>
      <c r="F13" s="3"/>
      <c r="G13" s="21">
        <v>45870.0</v>
      </c>
      <c r="H13" s="22">
        <v>45874.0</v>
      </c>
      <c r="I13" s="23">
        <v>-500.0</v>
      </c>
      <c r="J13" s="26" t="s">
        <v>27</v>
      </c>
      <c r="K13" s="14" t="s">
        <v>12</v>
      </c>
      <c r="L13" s="28" t="s">
        <v>21</v>
      </c>
      <c r="M13" s="3"/>
      <c r="N13" s="3"/>
    </row>
    <row r="14">
      <c r="A14" s="12">
        <v>45871.0</v>
      </c>
      <c r="B14" s="23">
        <v>-58.96</v>
      </c>
      <c r="C14" s="26" t="s">
        <v>28</v>
      </c>
      <c r="D14" s="14" t="s">
        <v>12</v>
      </c>
      <c r="E14" s="3"/>
      <c r="F14" s="3"/>
      <c r="G14" s="21">
        <v>45870.0</v>
      </c>
      <c r="H14" s="22">
        <v>45874.0</v>
      </c>
      <c r="I14" s="23">
        <v>-280.0</v>
      </c>
      <c r="J14" s="26" t="s">
        <v>29</v>
      </c>
      <c r="K14" s="14" t="s">
        <v>12</v>
      </c>
      <c r="L14" s="28" t="s">
        <v>21</v>
      </c>
      <c r="M14" s="3"/>
      <c r="N14" s="3"/>
    </row>
    <row r="15">
      <c r="A15" s="12"/>
      <c r="B15" s="23"/>
      <c r="C15" s="26"/>
      <c r="D15" s="14"/>
      <c r="E15" s="3"/>
      <c r="F15" s="3"/>
      <c r="G15" s="21">
        <v>45870.0</v>
      </c>
      <c r="H15" s="22">
        <v>45874.0</v>
      </c>
      <c r="I15" s="23">
        <v>-11.0</v>
      </c>
      <c r="J15" s="26" t="s">
        <v>30</v>
      </c>
      <c r="K15" s="14" t="s">
        <v>12</v>
      </c>
      <c r="L15" s="28" t="s">
        <v>21</v>
      </c>
      <c r="M15" s="3"/>
      <c r="N15" s="3"/>
    </row>
    <row r="16">
      <c r="A16" s="12">
        <v>45873.0</v>
      </c>
      <c r="B16" s="23">
        <v>-424.0</v>
      </c>
      <c r="C16" s="26" t="s">
        <v>14</v>
      </c>
      <c r="D16" s="14" t="s">
        <v>12</v>
      </c>
      <c r="E16" s="3"/>
      <c r="F16" s="3"/>
      <c r="G16" s="21">
        <v>45870.0</v>
      </c>
      <c r="H16" s="22">
        <v>45874.0</v>
      </c>
      <c r="I16" s="23">
        <v>-250.65</v>
      </c>
      <c r="J16" s="26" t="s">
        <v>31</v>
      </c>
      <c r="K16" s="14" t="s">
        <v>12</v>
      </c>
      <c r="L16" s="28" t="s">
        <v>21</v>
      </c>
      <c r="M16" s="3"/>
      <c r="N16" s="3"/>
    </row>
    <row r="17">
      <c r="A17" s="12">
        <v>45873.0</v>
      </c>
      <c r="B17" s="23">
        <v>-278.0</v>
      </c>
      <c r="C17" s="26" t="s">
        <v>16</v>
      </c>
      <c r="D17" s="14" t="s">
        <v>12</v>
      </c>
      <c r="E17" s="3"/>
      <c r="F17" s="3"/>
      <c r="G17" s="21">
        <v>45870.0</v>
      </c>
      <c r="H17" s="22">
        <v>45877.0</v>
      </c>
      <c r="I17" s="23"/>
      <c r="J17" s="26" t="s">
        <v>32</v>
      </c>
      <c r="K17" s="14" t="s">
        <v>12</v>
      </c>
      <c r="L17" s="24" t="s">
        <v>33</v>
      </c>
      <c r="M17" s="3"/>
      <c r="N17" s="3"/>
    </row>
    <row r="18">
      <c r="A18" s="12">
        <v>45874.0</v>
      </c>
      <c r="B18" s="23">
        <v>-891.01</v>
      </c>
      <c r="C18" s="27" t="s">
        <v>34</v>
      </c>
      <c r="D18" s="14" t="s">
        <v>12</v>
      </c>
      <c r="E18" s="3"/>
      <c r="F18" s="3"/>
      <c r="G18" s="21">
        <v>45870.0</v>
      </c>
      <c r="H18" s="33">
        <v>45879.0</v>
      </c>
      <c r="I18" s="23">
        <v>-311.71</v>
      </c>
      <c r="J18" s="26" t="s">
        <v>35</v>
      </c>
      <c r="K18" s="14" t="s">
        <v>12</v>
      </c>
      <c r="L18" s="28" t="s">
        <v>21</v>
      </c>
      <c r="M18" s="27"/>
      <c r="N18" s="3"/>
    </row>
    <row r="19">
      <c r="A19" s="12">
        <v>45874.0</v>
      </c>
      <c r="B19" s="34">
        <f>SUM(B3:B18)</f>
        <v>79.16</v>
      </c>
      <c r="C19" s="35" t="s">
        <v>36</v>
      </c>
      <c r="D19" s="31"/>
      <c r="E19" s="3"/>
      <c r="F19" s="3"/>
      <c r="G19" s="21">
        <v>45870.0</v>
      </c>
      <c r="H19" s="33">
        <v>45879.0</v>
      </c>
      <c r="I19" s="23">
        <v>-554.85</v>
      </c>
      <c r="J19" s="26" t="s">
        <v>37</v>
      </c>
      <c r="K19" s="14" t="s">
        <v>12</v>
      </c>
      <c r="L19" s="28" t="s">
        <v>21</v>
      </c>
      <c r="M19" s="3"/>
      <c r="N19" s="3"/>
    </row>
    <row r="20">
      <c r="A20" s="12">
        <v>45874.0</v>
      </c>
      <c r="B20" s="13">
        <v>9500.0</v>
      </c>
      <c r="C20" s="7" t="s">
        <v>9</v>
      </c>
      <c r="D20" s="14" t="s">
        <v>7</v>
      </c>
      <c r="E20" s="3"/>
      <c r="F20" s="3"/>
      <c r="G20" s="21">
        <v>45870.0</v>
      </c>
      <c r="H20" s="33">
        <v>45879.0</v>
      </c>
      <c r="I20" s="23">
        <v>-1017.86</v>
      </c>
      <c r="J20" s="26" t="s">
        <v>38</v>
      </c>
      <c r="K20" s="14" t="s">
        <v>12</v>
      </c>
      <c r="L20" s="28" t="s">
        <v>21</v>
      </c>
      <c r="M20" s="3"/>
      <c r="N20" s="3"/>
    </row>
    <row r="21">
      <c r="A21" s="12">
        <v>45874.0</v>
      </c>
      <c r="B21" s="23">
        <v>-1200.0</v>
      </c>
      <c r="C21" s="26" t="s">
        <v>20</v>
      </c>
      <c r="D21" s="14" t="s">
        <v>12</v>
      </c>
      <c r="E21" s="3"/>
      <c r="F21" s="3"/>
      <c r="G21" s="21">
        <v>45870.0</v>
      </c>
      <c r="H21" s="33">
        <v>45879.0</v>
      </c>
      <c r="I21" s="36">
        <v>350.0</v>
      </c>
      <c r="J21" s="37" t="s">
        <v>39</v>
      </c>
      <c r="K21" s="38" t="s">
        <v>7</v>
      </c>
      <c r="L21" s="24" t="s">
        <v>40</v>
      </c>
      <c r="M21" s="3"/>
      <c r="N21" s="3"/>
    </row>
    <row r="22">
      <c r="A22" s="12">
        <v>45874.0</v>
      </c>
      <c r="B22" s="23">
        <v>-379.5</v>
      </c>
      <c r="C22" s="26" t="s">
        <v>23</v>
      </c>
      <c r="D22" s="14" t="s">
        <v>12</v>
      </c>
      <c r="E22" s="3"/>
      <c r="F22" s="3"/>
      <c r="G22" s="21">
        <v>45870.0</v>
      </c>
      <c r="H22" s="33">
        <v>45884.0</v>
      </c>
      <c r="I22" s="34">
        <f>475+124.7+87.6</f>
        <v>687.3</v>
      </c>
      <c r="J22" s="35" t="s">
        <v>36</v>
      </c>
      <c r="K22" s="31"/>
      <c r="L22" s="6"/>
      <c r="M22" s="3">
        <f>475</f>
        <v>475</v>
      </c>
      <c r="N22" s="3"/>
    </row>
    <row r="23">
      <c r="A23" s="12">
        <v>45874.0</v>
      </c>
      <c r="B23" s="32">
        <v>-6000.0</v>
      </c>
      <c r="C23" s="26" t="s">
        <v>24</v>
      </c>
      <c r="D23" s="14" t="s">
        <v>12</v>
      </c>
      <c r="E23" s="3"/>
      <c r="F23" s="3"/>
      <c r="G23" s="21">
        <v>45870.0</v>
      </c>
      <c r="H23" s="33">
        <v>45884.0</v>
      </c>
      <c r="I23" s="13">
        <v>2954.0</v>
      </c>
      <c r="J23" s="7" t="s">
        <v>10</v>
      </c>
      <c r="K23" s="14" t="s">
        <v>7</v>
      </c>
      <c r="L23" s="28" t="s">
        <v>21</v>
      </c>
      <c r="M23" s="27">
        <v>2650.0</v>
      </c>
      <c r="N23" s="3"/>
    </row>
    <row r="24">
      <c r="A24" s="12"/>
      <c r="B24" s="32"/>
      <c r="C24" s="26"/>
      <c r="D24" s="14"/>
      <c r="E24" s="3"/>
      <c r="F24" s="3"/>
      <c r="G24" s="21">
        <v>45870.0</v>
      </c>
      <c r="H24" s="33">
        <v>45884.0</v>
      </c>
      <c r="I24" s="13" t="s">
        <v>41</v>
      </c>
      <c r="J24" s="7" t="s">
        <v>9</v>
      </c>
      <c r="K24" s="14" t="s">
        <v>7</v>
      </c>
      <c r="L24" s="6"/>
      <c r="M24" s="3">
        <f>M23-M22</f>
        <v>2175</v>
      </c>
      <c r="N24" s="3"/>
    </row>
    <row r="25">
      <c r="A25" s="12">
        <v>45876.0</v>
      </c>
      <c r="B25" s="32">
        <v>-2722.88</v>
      </c>
      <c r="C25" s="26" t="s">
        <v>26</v>
      </c>
      <c r="D25" s="14" t="s">
        <v>12</v>
      </c>
      <c r="E25" s="3"/>
      <c r="F25" s="3"/>
      <c r="G25" s="21">
        <v>45870.0</v>
      </c>
      <c r="H25" s="33">
        <v>45886.0</v>
      </c>
      <c r="I25" s="23">
        <v>-865.8</v>
      </c>
      <c r="J25" s="7" t="s">
        <v>42</v>
      </c>
      <c r="K25" s="14" t="s">
        <v>12</v>
      </c>
      <c r="L25" s="28" t="s">
        <v>21</v>
      </c>
    </row>
    <row r="26">
      <c r="A26" s="12"/>
      <c r="B26" s="23"/>
      <c r="C26" s="26"/>
      <c r="D26" s="14"/>
      <c r="E26" s="3"/>
      <c r="F26" s="3"/>
      <c r="G26" s="21">
        <v>45870.0</v>
      </c>
      <c r="H26" s="33">
        <v>45884.0</v>
      </c>
      <c r="I26" s="32">
        <v>-1000.0</v>
      </c>
      <c r="J26" s="26" t="s">
        <v>24</v>
      </c>
      <c r="K26" s="14" t="s">
        <v>12</v>
      </c>
      <c r="L26" s="28" t="s">
        <v>21</v>
      </c>
    </row>
    <row r="27">
      <c r="A27" s="12"/>
      <c r="B27" s="23"/>
      <c r="C27" s="26"/>
      <c r="D27" s="14"/>
      <c r="E27" s="3"/>
      <c r="F27" s="3"/>
      <c r="G27" s="21">
        <v>45870.0</v>
      </c>
      <c r="H27" s="33">
        <v>45884.0</v>
      </c>
      <c r="I27" s="23">
        <v>-550.0</v>
      </c>
      <c r="J27" s="26" t="s">
        <v>43</v>
      </c>
      <c r="K27" s="14" t="s">
        <v>12</v>
      </c>
      <c r="L27" s="28" t="s">
        <v>21</v>
      </c>
      <c r="M27" s="3"/>
      <c r="N27" s="3"/>
    </row>
    <row r="28">
      <c r="A28" s="12"/>
      <c r="B28" s="23"/>
      <c r="C28" s="26"/>
      <c r="D28" s="14"/>
      <c r="E28" s="3"/>
      <c r="F28" s="3"/>
      <c r="G28" s="21">
        <v>45870.0</v>
      </c>
      <c r="H28" s="33">
        <v>45884.0</v>
      </c>
      <c r="I28" s="23">
        <v>-750.0</v>
      </c>
      <c r="J28" s="26" t="s">
        <v>17</v>
      </c>
      <c r="K28" s="14" t="s">
        <v>12</v>
      </c>
      <c r="L28" s="28" t="s">
        <v>21</v>
      </c>
      <c r="M28" s="3"/>
      <c r="N28" s="3"/>
    </row>
    <row r="29">
      <c r="A29" s="12">
        <v>45876.0</v>
      </c>
      <c r="B29" s="23">
        <v>-280.0</v>
      </c>
      <c r="C29" s="26" t="s">
        <v>29</v>
      </c>
      <c r="D29" s="14" t="s">
        <v>12</v>
      </c>
      <c r="E29" s="3"/>
      <c r="F29" s="3"/>
      <c r="G29" s="21">
        <v>45870.0</v>
      </c>
      <c r="H29" s="33">
        <v>45884.0</v>
      </c>
      <c r="I29" s="23">
        <v>-350.0</v>
      </c>
      <c r="J29" s="26" t="s">
        <v>15</v>
      </c>
      <c r="K29" s="14" t="s">
        <v>12</v>
      </c>
      <c r="L29" s="28" t="s">
        <v>21</v>
      </c>
      <c r="M29" s="3"/>
      <c r="N29" s="3"/>
    </row>
    <row r="30">
      <c r="A30" s="39">
        <v>45879.0</v>
      </c>
      <c r="B30" s="23">
        <v>-404.92</v>
      </c>
      <c r="C30" s="26" t="s">
        <v>35</v>
      </c>
      <c r="D30" s="14" t="s">
        <v>12</v>
      </c>
      <c r="E30" s="3"/>
      <c r="F30" s="3"/>
      <c r="G30" s="21">
        <v>45870.0</v>
      </c>
      <c r="H30" s="33">
        <v>45884.0</v>
      </c>
      <c r="I30" s="23">
        <v>-500.0</v>
      </c>
      <c r="J30" s="26" t="s">
        <v>44</v>
      </c>
      <c r="K30" s="14" t="s">
        <v>12</v>
      </c>
      <c r="L30" s="28" t="s">
        <v>21</v>
      </c>
      <c r="M30" s="3"/>
      <c r="N30" s="3"/>
    </row>
    <row r="31">
      <c r="A31" s="39">
        <v>45879.0</v>
      </c>
      <c r="B31" s="23">
        <v>-554.85</v>
      </c>
      <c r="C31" s="26" t="s">
        <v>37</v>
      </c>
      <c r="D31" s="14" t="s">
        <v>12</v>
      </c>
      <c r="E31" s="3"/>
      <c r="F31" s="3"/>
      <c r="G31" s="21">
        <v>45870.0</v>
      </c>
      <c r="H31" s="33">
        <v>45884.0</v>
      </c>
      <c r="I31" s="13">
        <v>750.0</v>
      </c>
      <c r="J31" s="40" t="s">
        <v>45</v>
      </c>
      <c r="K31" s="14" t="s">
        <v>7</v>
      </c>
      <c r="L31" s="6"/>
      <c r="M31" s="3"/>
      <c r="N31" s="3"/>
    </row>
    <row r="32">
      <c r="A32" s="3"/>
      <c r="B32" s="34">
        <f>SUM(B19:B31)</f>
        <v>-1962.99</v>
      </c>
      <c r="C32" s="35" t="s">
        <v>36</v>
      </c>
      <c r="D32" s="31"/>
      <c r="E32" s="3"/>
      <c r="F32" s="3"/>
      <c r="G32" s="21">
        <v>45870.0</v>
      </c>
      <c r="H32" s="33">
        <v>45884.0</v>
      </c>
      <c r="I32" s="23"/>
      <c r="J32" s="27" t="s">
        <v>46</v>
      </c>
      <c r="K32" s="14" t="s">
        <v>12</v>
      </c>
      <c r="L32" s="6"/>
      <c r="M32" s="3"/>
      <c r="N32" s="3"/>
    </row>
    <row r="33">
      <c r="A33" s="39"/>
      <c r="B33" s="23"/>
      <c r="C33" s="26"/>
      <c r="D33" s="14"/>
      <c r="E33" s="3"/>
      <c r="F33" s="3"/>
      <c r="G33" s="41"/>
      <c r="H33" s="42"/>
      <c r="I33" s="43">
        <v>1200.0</v>
      </c>
      <c r="J33" s="44" t="s">
        <v>47</v>
      </c>
      <c r="K33" s="31"/>
      <c r="L33" s="6"/>
      <c r="M33" s="3"/>
      <c r="N33" s="3"/>
    </row>
    <row r="34">
      <c r="A34" s="39"/>
      <c r="B34" s="23"/>
      <c r="C34" s="26"/>
      <c r="D34" s="14"/>
      <c r="E34" s="3"/>
      <c r="F34" s="3"/>
      <c r="G34" s="21">
        <v>45870.0</v>
      </c>
      <c r="H34" s="33">
        <v>45891.0</v>
      </c>
      <c r="I34" s="45">
        <v>-400.0</v>
      </c>
      <c r="J34" s="40" t="s">
        <v>48</v>
      </c>
      <c r="K34" s="14" t="s">
        <v>12</v>
      </c>
      <c r="L34" s="6"/>
      <c r="M34" s="3"/>
      <c r="N34" s="3"/>
    </row>
    <row r="35">
      <c r="A35" s="39"/>
      <c r="B35" s="23"/>
      <c r="C35" s="26"/>
      <c r="D35" s="14"/>
      <c r="E35" s="3"/>
      <c r="F35" s="3"/>
      <c r="G35" s="21">
        <v>45870.0</v>
      </c>
      <c r="H35" s="33">
        <v>45891.0</v>
      </c>
      <c r="I35" s="45">
        <v>-688.19</v>
      </c>
      <c r="J35" s="40" t="s">
        <v>49</v>
      </c>
      <c r="K35" s="14" t="s">
        <v>12</v>
      </c>
      <c r="L35" s="28" t="s">
        <v>21</v>
      </c>
      <c r="M35" s="3"/>
      <c r="N35" s="3"/>
    </row>
    <row r="36">
      <c r="A36" s="39">
        <v>45884.0</v>
      </c>
      <c r="B36" s="23">
        <v>-550.0</v>
      </c>
      <c r="C36" s="26" t="s">
        <v>43</v>
      </c>
      <c r="D36" s="14" t="s">
        <v>12</v>
      </c>
      <c r="E36" s="3"/>
      <c r="F36" s="3"/>
      <c r="G36" s="21">
        <v>45870.0</v>
      </c>
      <c r="H36" s="33">
        <v>45891.0</v>
      </c>
      <c r="I36" s="13">
        <v>750.0</v>
      </c>
      <c r="J36" s="40" t="s">
        <v>45</v>
      </c>
      <c r="K36" s="14" t="s">
        <v>7</v>
      </c>
      <c r="L36" s="6"/>
      <c r="M36" s="3"/>
      <c r="N36" s="3"/>
    </row>
    <row r="37">
      <c r="A37" s="39"/>
      <c r="B37" s="23"/>
      <c r="C37" s="26"/>
      <c r="D37" s="14"/>
      <c r="E37" s="3"/>
      <c r="F37" s="3"/>
      <c r="G37" s="21">
        <v>45870.0</v>
      </c>
      <c r="H37" s="33">
        <v>45891.0</v>
      </c>
      <c r="I37" s="23">
        <v>-54.99</v>
      </c>
      <c r="J37" s="27" t="s">
        <v>50</v>
      </c>
      <c r="K37" s="14" t="s">
        <v>12</v>
      </c>
      <c r="L37" s="6"/>
      <c r="M37" s="3"/>
      <c r="N37" s="3"/>
    </row>
    <row r="38">
      <c r="A38" s="39"/>
      <c r="B38" s="23"/>
      <c r="C38" s="26"/>
      <c r="D38" s="14"/>
      <c r="E38" s="3"/>
      <c r="F38" s="3"/>
      <c r="G38" s="21">
        <v>45870.0</v>
      </c>
      <c r="H38" s="33">
        <v>45891.0</v>
      </c>
      <c r="I38" s="23">
        <v>-200.0</v>
      </c>
      <c r="J38" s="27" t="s">
        <v>51</v>
      </c>
      <c r="K38" s="14" t="s">
        <v>12</v>
      </c>
      <c r="L38" s="6"/>
      <c r="M38" s="3"/>
      <c r="N38" s="3"/>
    </row>
    <row r="39">
      <c r="A39" s="39"/>
      <c r="B39" s="23"/>
      <c r="C39" s="26"/>
      <c r="D39" s="14"/>
      <c r="E39" s="3"/>
      <c r="F39" s="3"/>
      <c r="G39" s="21">
        <v>45870.0</v>
      </c>
      <c r="H39" s="33">
        <v>45891.0</v>
      </c>
      <c r="I39" s="23">
        <v>-100.0</v>
      </c>
      <c r="J39" s="27" t="s">
        <v>52</v>
      </c>
      <c r="K39" s="14" t="s">
        <v>12</v>
      </c>
      <c r="L39" s="6"/>
      <c r="M39" s="3"/>
      <c r="N39" s="3"/>
    </row>
    <row r="40">
      <c r="A40" s="39">
        <v>45884.0</v>
      </c>
      <c r="B40" s="23">
        <v>-350.0</v>
      </c>
      <c r="C40" s="26" t="s">
        <v>15</v>
      </c>
      <c r="D40" s="14" t="s">
        <v>12</v>
      </c>
      <c r="E40" s="3"/>
      <c r="F40" s="3"/>
      <c r="G40" s="21">
        <v>45870.0</v>
      </c>
      <c r="H40" s="33">
        <v>45894.0</v>
      </c>
      <c r="I40" s="13">
        <v>350.0</v>
      </c>
      <c r="J40" s="40" t="s">
        <v>53</v>
      </c>
      <c r="K40" s="14" t="s">
        <v>7</v>
      </c>
      <c r="L40" s="6"/>
      <c r="M40" s="27"/>
      <c r="N40" s="3"/>
    </row>
    <row r="41">
      <c r="A41" s="39"/>
      <c r="B41" s="23"/>
      <c r="C41" s="26"/>
      <c r="D41" s="14"/>
      <c r="E41" s="3"/>
      <c r="F41" s="3"/>
      <c r="G41" s="21">
        <v>45870.0</v>
      </c>
      <c r="H41" s="46">
        <v>45895.0</v>
      </c>
      <c r="I41" s="45">
        <v>-52.63</v>
      </c>
      <c r="J41" s="40" t="s">
        <v>54</v>
      </c>
      <c r="K41" s="14" t="s">
        <v>12</v>
      </c>
      <c r="L41" s="28" t="s">
        <v>21</v>
      </c>
      <c r="M41" s="3"/>
      <c r="N41" s="3"/>
    </row>
    <row r="42">
      <c r="A42" s="39">
        <v>45884.0</v>
      </c>
      <c r="B42" s="23">
        <v>-750.0</v>
      </c>
      <c r="C42" s="26" t="s">
        <v>17</v>
      </c>
      <c r="D42" s="14" t="s">
        <v>12</v>
      </c>
      <c r="E42" s="3"/>
      <c r="F42" s="3"/>
      <c r="G42" s="21">
        <v>45870.0</v>
      </c>
      <c r="H42" s="42"/>
      <c r="I42" s="43">
        <v>0.0</v>
      </c>
      <c r="J42" s="44" t="s">
        <v>47</v>
      </c>
      <c r="K42" s="14" t="s">
        <v>55</v>
      </c>
      <c r="L42" s="6"/>
      <c r="M42" s="3"/>
      <c r="N42" s="3"/>
    </row>
    <row r="43">
      <c r="A43" s="39"/>
      <c r="B43" s="23"/>
      <c r="C43" s="26"/>
      <c r="D43" s="14"/>
      <c r="E43" s="3"/>
      <c r="F43" s="3"/>
      <c r="G43" s="21">
        <v>45901.0</v>
      </c>
      <c r="H43" s="22">
        <v>45898.0</v>
      </c>
      <c r="I43" s="13">
        <v>750.0</v>
      </c>
      <c r="J43" s="47" t="s">
        <v>45</v>
      </c>
      <c r="K43" s="14" t="s">
        <v>7</v>
      </c>
      <c r="L43" s="6"/>
      <c r="M43" s="3"/>
      <c r="N43" s="3"/>
    </row>
    <row r="44">
      <c r="A44" s="39">
        <v>45884.0</v>
      </c>
      <c r="B44" s="23">
        <v>-256.13</v>
      </c>
      <c r="C44" s="26" t="s">
        <v>56</v>
      </c>
      <c r="D44" s="14" t="s">
        <v>12</v>
      </c>
      <c r="E44" s="3"/>
      <c r="F44" s="3"/>
      <c r="G44" s="21">
        <v>45901.0</v>
      </c>
      <c r="H44" s="22">
        <v>45901.0</v>
      </c>
      <c r="I44" s="13">
        <v>1488.58</v>
      </c>
      <c r="J44" s="7" t="s">
        <v>10</v>
      </c>
      <c r="K44" s="14" t="s">
        <v>7</v>
      </c>
      <c r="L44" s="6"/>
      <c r="M44" s="3"/>
      <c r="N44" s="3"/>
    </row>
    <row r="45">
      <c r="A45" s="39">
        <v>45884.0</v>
      </c>
      <c r="B45" s="23">
        <v>-250.0</v>
      </c>
      <c r="C45" s="26" t="s">
        <v>57</v>
      </c>
      <c r="D45" s="14" t="s">
        <v>12</v>
      </c>
      <c r="E45" s="3"/>
      <c r="F45" s="3"/>
      <c r="G45" s="21">
        <v>45901.0</v>
      </c>
      <c r="H45" s="22">
        <v>45901.0</v>
      </c>
      <c r="I45" s="23">
        <v>-350.0</v>
      </c>
      <c r="J45" s="26" t="s">
        <v>15</v>
      </c>
      <c r="K45" s="14" t="s">
        <v>12</v>
      </c>
      <c r="L45" s="28" t="s">
        <v>21</v>
      </c>
      <c r="M45" s="23"/>
      <c r="N45" s="26"/>
    </row>
    <row r="46">
      <c r="A46" s="39">
        <v>45886.0</v>
      </c>
      <c r="B46" s="23">
        <v>-1515.8</v>
      </c>
      <c r="C46" s="7" t="s">
        <v>42</v>
      </c>
      <c r="D46" s="14" t="s">
        <v>12</v>
      </c>
      <c r="E46" s="3"/>
      <c r="F46" s="3"/>
      <c r="G46" s="21">
        <v>45901.0</v>
      </c>
      <c r="H46" s="22">
        <v>45901.0</v>
      </c>
      <c r="I46" s="23">
        <v>-750.0</v>
      </c>
      <c r="J46" s="26" t="s">
        <v>17</v>
      </c>
      <c r="K46" s="14" t="s">
        <v>12</v>
      </c>
      <c r="L46" s="28" t="s">
        <v>21</v>
      </c>
      <c r="M46" s="23"/>
      <c r="N46" s="26"/>
    </row>
    <row r="47">
      <c r="A47" s="12"/>
      <c r="B47" s="23"/>
      <c r="C47" s="26"/>
      <c r="D47" s="14"/>
      <c r="E47" s="3"/>
      <c r="F47" s="3"/>
      <c r="G47" s="21">
        <v>45901.0</v>
      </c>
      <c r="H47" s="22">
        <v>45901.0</v>
      </c>
      <c r="I47" s="23">
        <v>-264.56</v>
      </c>
      <c r="J47" s="26" t="s">
        <v>58</v>
      </c>
      <c r="K47" s="14" t="s">
        <v>12</v>
      </c>
      <c r="L47" s="6"/>
      <c r="M47" s="3"/>
      <c r="N47" s="3"/>
    </row>
    <row r="48">
      <c r="A48" s="12">
        <v>45901.0</v>
      </c>
      <c r="B48" s="23">
        <v>-350.0</v>
      </c>
      <c r="C48" s="26" t="s">
        <v>15</v>
      </c>
      <c r="D48" s="14" t="s">
        <v>12</v>
      </c>
      <c r="E48" s="3"/>
      <c r="F48" s="3"/>
      <c r="G48" s="21">
        <v>45901.0</v>
      </c>
      <c r="H48" s="22">
        <v>45902.0</v>
      </c>
      <c r="I48" s="23">
        <v>-58.96</v>
      </c>
      <c r="J48" s="26" t="s">
        <v>28</v>
      </c>
      <c r="K48" s="14" t="s">
        <v>12</v>
      </c>
      <c r="L48" s="6"/>
      <c r="M48" s="3"/>
      <c r="N48" s="3"/>
    </row>
    <row r="49">
      <c r="A49" s="12">
        <v>45901.0</v>
      </c>
      <c r="B49" s="23">
        <v>-750.0</v>
      </c>
      <c r="C49" s="26" t="s">
        <v>17</v>
      </c>
      <c r="D49" s="14" t="s">
        <v>12</v>
      </c>
      <c r="E49" s="3"/>
      <c r="F49" s="3"/>
      <c r="G49" s="21">
        <v>45901.0</v>
      </c>
      <c r="H49" s="22">
        <v>45904.0</v>
      </c>
      <c r="I49" s="23">
        <v>-424.0</v>
      </c>
      <c r="J49" s="26" t="s">
        <v>14</v>
      </c>
      <c r="K49" s="14" t="s">
        <v>12</v>
      </c>
      <c r="L49" s="6"/>
      <c r="M49" s="3"/>
      <c r="N49" s="3"/>
    </row>
    <row r="50">
      <c r="A50" s="48"/>
      <c r="B50" s="49"/>
      <c r="C50" s="50"/>
      <c r="D50" s="19"/>
      <c r="E50" s="51"/>
      <c r="F50" s="51"/>
      <c r="G50" s="21">
        <v>45901.0</v>
      </c>
      <c r="H50" s="22">
        <v>45904.0</v>
      </c>
      <c r="I50" s="52"/>
      <c r="J50" s="53" t="s">
        <v>59</v>
      </c>
      <c r="K50" s="14" t="s">
        <v>12</v>
      </c>
      <c r="L50" s="20"/>
      <c r="M50" s="51"/>
      <c r="N50" s="51"/>
      <c r="O50" s="54"/>
      <c r="P50" s="54"/>
      <c r="Q50" s="54"/>
      <c r="R50" s="54"/>
      <c r="S50" s="54"/>
      <c r="T50" s="54"/>
      <c r="U50" s="54"/>
    </row>
    <row r="51">
      <c r="A51" s="12"/>
      <c r="B51" s="23"/>
      <c r="C51" s="26"/>
      <c r="D51" s="14"/>
      <c r="E51" s="3"/>
      <c r="F51" s="3"/>
      <c r="G51" s="21">
        <v>45901.0</v>
      </c>
      <c r="H51" s="22"/>
      <c r="I51" s="43">
        <v>0.0</v>
      </c>
      <c r="J51" s="44" t="s">
        <v>36</v>
      </c>
      <c r="K51" s="14" t="s">
        <v>55</v>
      </c>
      <c r="L51" s="6"/>
      <c r="M51" s="3"/>
      <c r="N51" s="3"/>
    </row>
    <row r="52">
      <c r="A52" s="12">
        <v>45904.0</v>
      </c>
      <c r="B52" s="23">
        <v>-424.0</v>
      </c>
      <c r="C52" s="26" t="s">
        <v>14</v>
      </c>
      <c r="D52" s="14" t="s">
        <v>12</v>
      </c>
      <c r="E52" s="3"/>
      <c r="F52" s="3"/>
      <c r="G52" s="21">
        <v>45901.0</v>
      </c>
      <c r="H52" s="22">
        <v>45905.0</v>
      </c>
      <c r="I52" s="13">
        <v>19000.0</v>
      </c>
      <c r="J52" s="7" t="s">
        <v>9</v>
      </c>
      <c r="K52" s="14" t="s">
        <v>7</v>
      </c>
      <c r="L52" s="6"/>
      <c r="M52" s="3"/>
      <c r="N52" s="3"/>
    </row>
    <row r="53">
      <c r="A53" s="12"/>
      <c r="B53" s="23"/>
      <c r="C53" s="26"/>
      <c r="D53" s="14"/>
      <c r="E53" s="3"/>
      <c r="F53" s="3"/>
      <c r="G53" s="21"/>
      <c r="H53" s="22"/>
      <c r="I53" s="13">
        <v>750.0</v>
      </c>
      <c r="J53" s="55" t="s">
        <v>60</v>
      </c>
      <c r="K53" s="14" t="s">
        <v>7</v>
      </c>
      <c r="L53" s="6"/>
      <c r="M53" s="3"/>
      <c r="N53" s="3"/>
    </row>
    <row r="54">
      <c r="A54" s="12"/>
      <c r="B54" s="23"/>
      <c r="C54" s="26"/>
      <c r="D54" s="14"/>
      <c r="E54" s="3"/>
      <c r="F54" s="3"/>
      <c r="G54" s="21">
        <v>45901.0</v>
      </c>
      <c r="H54" s="22">
        <v>45905.0</v>
      </c>
      <c r="I54" s="45">
        <v>-1603.37</v>
      </c>
      <c r="J54" s="55" t="s">
        <v>61</v>
      </c>
      <c r="K54" s="14" t="s">
        <v>12</v>
      </c>
      <c r="L54" s="56" t="s">
        <v>62</v>
      </c>
      <c r="M54" s="3"/>
      <c r="N54" s="3"/>
    </row>
    <row r="55">
      <c r="A55" s="12"/>
      <c r="B55" s="23"/>
      <c r="C55" s="26"/>
      <c r="D55" s="14"/>
      <c r="E55" s="3"/>
      <c r="F55" s="3"/>
      <c r="G55" s="21">
        <v>45901.0</v>
      </c>
      <c r="H55" s="22">
        <v>45905.0</v>
      </c>
      <c r="I55" s="57">
        <v>-1192.09</v>
      </c>
      <c r="J55" s="55" t="s">
        <v>63</v>
      </c>
      <c r="K55" s="14" t="s">
        <v>12</v>
      </c>
      <c r="L55" s="56" t="s">
        <v>62</v>
      </c>
      <c r="M55" s="3"/>
      <c r="N55" s="3"/>
    </row>
    <row r="56">
      <c r="A56" s="39">
        <v>45894.0</v>
      </c>
      <c r="B56" s="23">
        <v>350.0</v>
      </c>
      <c r="C56" s="7" t="s">
        <v>53</v>
      </c>
      <c r="D56" s="14" t="s">
        <v>7</v>
      </c>
      <c r="E56" s="3"/>
      <c r="F56" s="3"/>
      <c r="G56" s="21">
        <v>45901.0</v>
      </c>
      <c r="H56" s="22">
        <v>45901.0</v>
      </c>
      <c r="I56" s="58">
        <v>-1000.0</v>
      </c>
      <c r="J56" s="26" t="s">
        <v>19</v>
      </c>
      <c r="K56" s="14" t="s">
        <v>12</v>
      </c>
      <c r="L56" s="56" t="s">
        <v>62</v>
      </c>
      <c r="M56" s="3"/>
      <c r="N56" s="3"/>
    </row>
    <row r="57">
      <c r="A57" s="12"/>
      <c r="B57" s="23"/>
      <c r="C57" s="26"/>
      <c r="D57" s="14"/>
      <c r="E57" s="3"/>
      <c r="F57" s="3"/>
      <c r="G57" s="21">
        <v>45901.0</v>
      </c>
      <c r="H57" s="22">
        <v>45905.0</v>
      </c>
      <c r="I57" s="58">
        <v>-387.61</v>
      </c>
      <c r="J57" s="26" t="s">
        <v>23</v>
      </c>
      <c r="K57" s="14" t="s">
        <v>12</v>
      </c>
      <c r="L57" s="56" t="s">
        <v>62</v>
      </c>
      <c r="M57" s="3"/>
      <c r="N57" s="3"/>
    </row>
    <row r="58">
      <c r="A58" s="12">
        <v>45904.0</v>
      </c>
      <c r="B58" s="23">
        <v>-278.0</v>
      </c>
      <c r="C58" s="26" t="s">
        <v>16</v>
      </c>
      <c r="D58" s="14" t="s">
        <v>12</v>
      </c>
      <c r="E58" s="3"/>
      <c r="F58" s="3"/>
      <c r="G58" s="21">
        <v>45901.0</v>
      </c>
      <c r="H58" s="22">
        <v>45905.0</v>
      </c>
      <c r="I58" s="58">
        <f>-(1000-130-60)</f>
        <v>-810</v>
      </c>
      <c r="J58" s="26" t="s">
        <v>22</v>
      </c>
      <c r="K58" s="14" t="s">
        <v>12</v>
      </c>
      <c r="L58" s="56" t="s">
        <v>62</v>
      </c>
      <c r="M58" s="3"/>
      <c r="N58" s="3"/>
    </row>
    <row r="59">
      <c r="A59" s="12"/>
      <c r="B59" s="32"/>
      <c r="C59" s="26"/>
      <c r="D59" s="14"/>
      <c r="E59" s="3"/>
      <c r="F59" s="3"/>
      <c r="G59" s="21">
        <v>45901.0</v>
      </c>
      <c r="H59" s="22">
        <v>45905.0</v>
      </c>
      <c r="I59" s="59">
        <v>-550.0</v>
      </c>
      <c r="J59" s="26" t="s">
        <v>43</v>
      </c>
      <c r="K59" s="14" t="s">
        <v>12</v>
      </c>
      <c r="L59" s="24"/>
      <c r="M59" s="3"/>
      <c r="N59" s="3"/>
    </row>
    <row r="60">
      <c r="A60" s="12"/>
      <c r="B60" s="32"/>
      <c r="C60" s="26"/>
      <c r="D60" s="14"/>
      <c r="E60" s="3"/>
      <c r="F60" s="3"/>
      <c r="G60" s="21">
        <v>45901.0</v>
      </c>
      <c r="H60" s="22">
        <v>45905.0</v>
      </c>
      <c r="I60" s="58">
        <v>-350.0</v>
      </c>
      <c r="J60" s="26" t="s">
        <v>15</v>
      </c>
      <c r="K60" s="14" t="s">
        <v>12</v>
      </c>
      <c r="L60" s="56" t="s">
        <v>62</v>
      </c>
      <c r="M60" s="3"/>
      <c r="N60" s="3"/>
    </row>
    <row r="61">
      <c r="A61" s="12">
        <v>45905.0</v>
      </c>
      <c r="B61" s="32">
        <v>-6000.0</v>
      </c>
      <c r="C61" s="26" t="s">
        <v>24</v>
      </c>
      <c r="D61" s="14" t="s">
        <v>12</v>
      </c>
      <c r="E61" s="3"/>
      <c r="F61" s="3"/>
      <c r="G61" s="21">
        <v>45901.0</v>
      </c>
      <c r="H61" s="22">
        <v>45905.0</v>
      </c>
      <c r="I61" s="59">
        <v>-750.0</v>
      </c>
      <c r="J61" s="26" t="s">
        <v>17</v>
      </c>
      <c r="K61" s="14" t="s">
        <v>12</v>
      </c>
      <c r="L61" s="24"/>
      <c r="M61" s="3"/>
      <c r="N61" s="3"/>
    </row>
    <row r="62">
      <c r="A62" s="12"/>
      <c r="B62" s="23"/>
      <c r="C62" s="26"/>
      <c r="D62" s="14"/>
      <c r="E62" s="3"/>
      <c r="F62" s="3"/>
      <c r="G62" s="21">
        <v>45901.0</v>
      </c>
      <c r="H62" s="22">
        <v>45905.0</v>
      </c>
      <c r="I62" s="45">
        <v>-719.35</v>
      </c>
      <c r="J62" s="55" t="s">
        <v>64</v>
      </c>
      <c r="K62" s="14" t="s">
        <v>12</v>
      </c>
      <c r="L62" s="56" t="s">
        <v>62</v>
      </c>
      <c r="M62" s="3"/>
      <c r="N62" s="3"/>
    </row>
    <row r="63">
      <c r="A63" s="60"/>
      <c r="B63" s="61"/>
      <c r="C63" s="62"/>
      <c r="D63" s="63"/>
      <c r="E63" s="64"/>
      <c r="F63" s="64"/>
      <c r="G63" s="21">
        <v>45901.0</v>
      </c>
      <c r="H63" s="22">
        <v>45905.0</v>
      </c>
      <c r="I63" s="59">
        <v>-350.0</v>
      </c>
      <c r="J63" s="26" t="s">
        <v>65</v>
      </c>
      <c r="K63" s="14" t="s">
        <v>12</v>
      </c>
      <c r="L63" s="24" t="s">
        <v>66</v>
      </c>
      <c r="M63" s="64"/>
      <c r="N63" s="64"/>
      <c r="O63" s="64"/>
    </row>
    <row r="64">
      <c r="A64" s="60"/>
      <c r="B64" s="61"/>
      <c r="C64" s="62"/>
      <c r="D64" s="63"/>
      <c r="E64" s="64"/>
      <c r="F64" s="64"/>
      <c r="G64" s="21">
        <v>45901.0</v>
      </c>
      <c r="H64" s="33">
        <v>45910.0</v>
      </c>
      <c r="I64" s="59">
        <v>-2500.0</v>
      </c>
      <c r="J64" s="26" t="s">
        <v>67</v>
      </c>
      <c r="K64" s="14" t="s">
        <v>12</v>
      </c>
      <c r="L64" s="24" t="s">
        <v>66</v>
      </c>
      <c r="M64" s="64"/>
      <c r="N64" s="64"/>
      <c r="O64" s="64"/>
    </row>
    <row r="65">
      <c r="A65" s="60"/>
      <c r="B65" s="61"/>
      <c r="C65" s="62"/>
      <c r="D65" s="63"/>
      <c r="E65" s="64"/>
      <c r="F65" s="64"/>
      <c r="G65" s="21">
        <v>45901.0</v>
      </c>
      <c r="H65" s="33">
        <v>45910.0</v>
      </c>
      <c r="I65" s="58">
        <v>-150.0</v>
      </c>
      <c r="J65" s="26" t="s">
        <v>68</v>
      </c>
      <c r="K65" s="14" t="s">
        <v>12</v>
      </c>
      <c r="L65" s="56" t="s">
        <v>62</v>
      </c>
      <c r="M65" s="64"/>
      <c r="N65" s="64"/>
      <c r="O65" s="64"/>
    </row>
    <row r="66">
      <c r="A66" s="60">
        <v>45904.0</v>
      </c>
      <c r="B66" s="61">
        <v>-278.0</v>
      </c>
      <c r="C66" s="62" t="s">
        <v>16</v>
      </c>
      <c r="D66" s="63" t="s">
        <v>12</v>
      </c>
      <c r="E66" s="64"/>
      <c r="F66" s="64"/>
      <c r="G66" s="21">
        <v>45901.0</v>
      </c>
      <c r="H66" s="22">
        <v>45904.0</v>
      </c>
      <c r="I66" s="58">
        <v>-278.0</v>
      </c>
      <c r="J66" s="26" t="s">
        <v>16</v>
      </c>
      <c r="K66" s="14" t="s">
        <v>12</v>
      </c>
      <c r="L66" s="56" t="s">
        <v>62</v>
      </c>
      <c r="M66" s="64"/>
      <c r="N66" s="64"/>
      <c r="O66" s="64"/>
    </row>
    <row r="67">
      <c r="A67" s="12"/>
      <c r="B67" s="23"/>
      <c r="C67" s="26"/>
      <c r="D67" s="14"/>
      <c r="E67" s="3"/>
      <c r="F67" s="3"/>
      <c r="G67" s="21">
        <v>45901.0</v>
      </c>
      <c r="H67" s="22">
        <v>45905.0</v>
      </c>
      <c r="I67" s="57">
        <v>-6000.0</v>
      </c>
      <c r="J67" s="26" t="s">
        <v>24</v>
      </c>
      <c r="K67" s="14" t="s">
        <v>12</v>
      </c>
      <c r="L67" s="65" t="s">
        <v>69</v>
      </c>
      <c r="M67" s="3"/>
      <c r="N67" s="3"/>
    </row>
    <row r="68">
      <c r="A68" s="12">
        <v>45905.0</v>
      </c>
      <c r="B68" s="23">
        <v>-379.5</v>
      </c>
      <c r="C68" s="26" t="s">
        <v>23</v>
      </c>
      <c r="D68" s="14" t="s">
        <v>12</v>
      </c>
      <c r="E68" s="3"/>
      <c r="F68" s="3"/>
      <c r="G68" s="21">
        <v>45901.0</v>
      </c>
      <c r="H68" s="22">
        <v>45907.0</v>
      </c>
      <c r="I68" s="58">
        <v>-280.0</v>
      </c>
      <c r="J68" s="26" t="s">
        <v>29</v>
      </c>
      <c r="K68" s="14" t="s">
        <v>12</v>
      </c>
      <c r="L68" s="56" t="s">
        <v>62</v>
      </c>
      <c r="M68" s="32"/>
      <c r="N68" s="3"/>
    </row>
    <row r="69">
      <c r="A69" s="12">
        <v>45905.0</v>
      </c>
      <c r="B69" s="13">
        <v>9500.0</v>
      </c>
      <c r="C69" s="7" t="s">
        <v>9</v>
      </c>
      <c r="D69" s="14" t="s">
        <v>7</v>
      </c>
      <c r="E69" s="3"/>
      <c r="F69" s="3"/>
      <c r="G69" s="21">
        <v>45901.0</v>
      </c>
      <c r="H69" s="22">
        <v>45907.0</v>
      </c>
      <c r="I69" s="45">
        <v>-2249.88</v>
      </c>
      <c r="J69" s="55" t="s">
        <v>26</v>
      </c>
      <c r="K69" s="14" t="s">
        <v>12</v>
      </c>
      <c r="L69" s="56" t="s">
        <v>62</v>
      </c>
      <c r="M69" s="3"/>
      <c r="N69" s="3"/>
    </row>
    <row r="70">
      <c r="A70" s="12"/>
      <c r="B70" s="23"/>
      <c r="C70" s="7"/>
      <c r="D70" s="14"/>
      <c r="E70" s="3"/>
      <c r="F70" s="3"/>
      <c r="G70" s="21">
        <v>45901.0</v>
      </c>
      <c r="H70" s="22">
        <v>45907.0</v>
      </c>
      <c r="I70" s="58">
        <v>-114.76</v>
      </c>
      <c r="J70" s="26" t="s">
        <v>57</v>
      </c>
      <c r="K70" s="14" t="s">
        <v>12</v>
      </c>
      <c r="L70" s="56" t="s">
        <v>62</v>
      </c>
      <c r="M70" s="3"/>
      <c r="N70" s="3"/>
    </row>
    <row r="71">
      <c r="A71" s="12"/>
      <c r="B71" s="23"/>
      <c r="C71" s="7"/>
      <c r="D71" s="14"/>
      <c r="E71" s="3"/>
      <c r="F71" s="3"/>
      <c r="G71" s="21">
        <v>45901.0</v>
      </c>
      <c r="H71" s="33">
        <v>45910.0</v>
      </c>
      <c r="I71" s="13">
        <v>508.0</v>
      </c>
      <c r="J71" s="7" t="s">
        <v>70</v>
      </c>
      <c r="K71" s="14" t="s">
        <v>7</v>
      </c>
      <c r="L71" s="24" t="s">
        <v>71</v>
      </c>
      <c r="M71" s="3"/>
      <c r="N71" s="3"/>
    </row>
    <row r="72">
      <c r="A72" s="12"/>
      <c r="B72" s="23"/>
      <c r="C72" s="7"/>
      <c r="D72" s="14"/>
      <c r="E72" s="3"/>
      <c r="F72" s="3"/>
      <c r="G72" s="21">
        <v>45901.0</v>
      </c>
      <c r="H72" s="33">
        <v>45910.0</v>
      </c>
      <c r="I72" s="13">
        <v>450.0</v>
      </c>
      <c r="J72" s="7" t="s">
        <v>72</v>
      </c>
      <c r="K72" s="14" t="s">
        <v>7</v>
      </c>
      <c r="L72" s="24" t="s">
        <v>71</v>
      </c>
      <c r="M72" s="3"/>
      <c r="N72" s="3"/>
    </row>
    <row r="73">
      <c r="A73" s="12">
        <v>45905.0</v>
      </c>
      <c r="B73" s="23">
        <v>-1000.0</v>
      </c>
      <c r="C73" s="7" t="s">
        <v>34</v>
      </c>
      <c r="D73" s="14" t="s">
        <v>12</v>
      </c>
      <c r="E73" s="3"/>
      <c r="F73" s="3"/>
      <c r="G73" s="21">
        <v>45901.0</v>
      </c>
      <c r="H73" s="33">
        <v>45910.0</v>
      </c>
      <c r="I73" s="58">
        <v>-563.16</v>
      </c>
      <c r="J73" s="26" t="s">
        <v>37</v>
      </c>
      <c r="K73" s="14" t="s">
        <v>12</v>
      </c>
      <c r="L73" s="56" t="s">
        <v>62</v>
      </c>
      <c r="M73" s="3"/>
      <c r="N73" s="3"/>
    </row>
    <row r="74">
      <c r="A74" s="48"/>
      <c r="B74" s="49"/>
      <c r="C74" s="50"/>
      <c r="D74" s="19"/>
      <c r="E74" s="51"/>
      <c r="F74" s="51"/>
      <c r="G74" s="21">
        <v>45901.0</v>
      </c>
      <c r="H74" s="33">
        <v>45912.0</v>
      </c>
      <c r="I74" s="52">
        <v>-200.0</v>
      </c>
      <c r="J74" s="53" t="s">
        <v>59</v>
      </c>
      <c r="K74" s="14" t="s">
        <v>12</v>
      </c>
      <c r="L74" s="66"/>
      <c r="M74" s="51"/>
      <c r="N74" s="51"/>
      <c r="O74" s="67"/>
      <c r="P74" s="67"/>
      <c r="Q74" s="67"/>
      <c r="R74" s="67"/>
      <c r="S74" s="67"/>
      <c r="T74" s="67"/>
      <c r="U74" s="67"/>
    </row>
    <row r="75">
      <c r="A75" s="12">
        <v>45907.0</v>
      </c>
      <c r="B75" s="23">
        <v>-280.0</v>
      </c>
      <c r="C75" s="26" t="s">
        <v>29</v>
      </c>
      <c r="D75" s="14" t="s">
        <v>12</v>
      </c>
      <c r="E75" s="3"/>
      <c r="F75" s="3"/>
      <c r="G75" s="21">
        <v>45901.0</v>
      </c>
      <c r="H75" s="33">
        <v>45914.0</v>
      </c>
      <c r="I75" s="43"/>
      <c r="J75" s="44" t="s">
        <v>36</v>
      </c>
      <c r="K75" s="14" t="s">
        <v>55</v>
      </c>
      <c r="L75" s="6"/>
      <c r="M75" s="3"/>
      <c r="N75" s="3"/>
    </row>
    <row r="76">
      <c r="A76" s="12">
        <v>45908.0</v>
      </c>
      <c r="B76" s="23">
        <v>-250.0</v>
      </c>
      <c r="C76" s="26" t="s">
        <v>57</v>
      </c>
      <c r="D76" s="14" t="s">
        <v>12</v>
      </c>
      <c r="E76" s="3"/>
      <c r="F76" s="3"/>
      <c r="G76" s="21">
        <v>45901.0</v>
      </c>
      <c r="H76" s="33">
        <v>45915.0</v>
      </c>
      <c r="I76" s="13">
        <v>2954.0</v>
      </c>
      <c r="J76" s="7" t="s">
        <v>10</v>
      </c>
      <c r="K76" s="14" t="s">
        <v>7</v>
      </c>
      <c r="L76" s="6"/>
      <c r="M76" s="3"/>
      <c r="N76" s="3"/>
    </row>
    <row r="77">
      <c r="A77" s="39">
        <v>45915.0</v>
      </c>
      <c r="B77" s="23">
        <v>-550.0</v>
      </c>
      <c r="C77" s="26" t="s">
        <v>43</v>
      </c>
      <c r="D77" s="14" t="s">
        <v>12</v>
      </c>
      <c r="E77" s="3"/>
      <c r="F77" s="3"/>
      <c r="G77" s="21">
        <v>45901.0</v>
      </c>
      <c r="H77" s="33">
        <v>45915.0</v>
      </c>
      <c r="I77" s="23">
        <v>-255.0</v>
      </c>
      <c r="J77" s="27" t="s">
        <v>73</v>
      </c>
      <c r="K77" s="14" t="s">
        <v>12</v>
      </c>
      <c r="L77" s="6"/>
      <c r="M77" s="3"/>
      <c r="N77" s="3"/>
    </row>
    <row r="78">
      <c r="A78" s="39">
        <v>45915.0</v>
      </c>
      <c r="B78" s="23">
        <v>-350.0</v>
      </c>
      <c r="C78" s="26" t="s">
        <v>15</v>
      </c>
      <c r="D78" s="14" t="s">
        <v>12</v>
      </c>
      <c r="E78" s="3"/>
      <c r="F78" s="3"/>
      <c r="G78" s="21">
        <v>45901.0</v>
      </c>
      <c r="H78" s="33">
        <v>45915.0</v>
      </c>
      <c r="I78" s="23">
        <v>350.0</v>
      </c>
      <c r="J78" s="27" t="s">
        <v>74</v>
      </c>
      <c r="K78" s="68" t="s">
        <v>7</v>
      </c>
      <c r="L78" s="24" t="s">
        <v>66</v>
      </c>
      <c r="M78" s="3"/>
      <c r="N78" s="3"/>
    </row>
    <row r="79">
      <c r="A79" s="39">
        <v>45915.0</v>
      </c>
      <c r="B79" s="23">
        <v>-750.0</v>
      </c>
      <c r="C79" s="26" t="s">
        <v>17</v>
      </c>
      <c r="D79" s="14" t="s">
        <v>12</v>
      </c>
      <c r="E79" s="3"/>
      <c r="F79" s="3"/>
      <c r="G79" s="21">
        <v>45901.0</v>
      </c>
      <c r="H79" s="33">
        <v>45917.0</v>
      </c>
      <c r="I79" s="57">
        <v>-1562.93</v>
      </c>
      <c r="J79" s="7" t="s">
        <v>42</v>
      </c>
      <c r="K79" s="14" t="s">
        <v>12</v>
      </c>
      <c r="L79" s="56" t="s">
        <v>62</v>
      </c>
      <c r="M79" s="3"/>
      <c r="N79" s="3"/>
    </row>
    <row r="80">
      <c r="A80" s="69"/>
      <c r="B80" s="70"/>
      <c r="C80" s="71"/>
      <c r="D80" s="72"/>
      <c r="E80" s="73"/>
      <c r="F80" s="73"/>
      <c r="G80" s="21">
        <v>45901.0</v>
      </c>
      <c r="H80" s="33">
        <v>45917.0</v>
      </c>
      <c r="I80" s="23"/>
      <c r="J80" s="26" t="s">
        <v>75</v>
      </c>
      <c r="K80" s="14" t="s">
        <v>12</v>
      </c>
      <c r="L80" s="74"/>
      <c r="M80" s="73"/>
      <c r="N80" s="73"/>
      <c r="O80" s="75"/>
      <c r="P80" s="75"/>
      <c r="Q80" s="75"/>
      <c r="R80" s="75"/>
      <c r="S80" s="75"/>
      <c r="T80" s="75"/>
      <c r="U80" s="75"/>
    </row>
    <row r="81">
      <c r="A81" s="69"/>
      <c r="B81" s="70"/>
      <c r="C81" s="71"/>
      <c r="D81" s="72"/>
      <c r="E81" s="73"/>
      <c r="F81" s="73"/>
      <c r="G81" s="21">
        <v>45901.0</v>
      </c>
      <c r="H81" s="33">
        <v>45917.0</v>
      </c>
      <c r="I81" s="76">
        <v>-597.0</v>
      </c>
      <c r="J81" s="71" t="s">
        <v>76</v>
      </c>
      <c r="K81" s="14" t="s">
        <v>12</v>
      </c>
      <c r="L81" s="56" t="s">
        <v>62</v>
      </c>
      <c r="M81" s="73"/>
      <c r="N81" s="73"/>
      <c r="O81" s="75"/>
      <c r="P81" s="75"/>
      <c r="Q81" s="75"/>
      <c r="R81" s="75"/>
      <c r="S81" s="75"/>
      <c r="T81" s="75"/>
      <c r="U81" s="75"/>
    </row>
    <row r="82">
      <c r="A82" s="69"/>
      <c r="B82" s="70"/>
      <c r="C82" s="71"/>
      <c r="D82" s="72"/>
      <c r="E82" s="73"/>
      <c r="F82" s="73"/>
      <c r="G82" s="21">
        <v>45901.0</v>
      </c>
      <c r="H82" s="33">
        <v>45917.0</v>
      </c>
      <c r="I82" s="77"/>
      <c r="J82" s="78"/>
      <c r="K82" s="79"/>
      <c r="L82" s="74"/>
      <c r="M82" s="73"/>
      <c r="N82" s="73"/>
      <c r="O82" s="75"/>
      <c r="P82" s="75"/>
      <c r="Q82" s="75"/>
      <c r="R82" s="75"/>
      <c r="S82" s="75"/>
      <c r="T82" s="75"/>
      <c r="U82" s="75"/>
    </row>
    <row r="83">
      <c r="A83" s="48"/>
      <c r="B83" s="49"/>
      <c r="C83" s="50"/>
      <c r="D83" s="19"/>
      <c r="E83" s="51"/>
      <c r="F83" s="51"/>
      <c r="G83" s="21">
        <v>45901.0</v>
      </c>
      <c r="H83" s="33">
        <v>45919.0</v>
      </c>
      <c r="I83" s="52">
        <v>-200.0</v>
      </c>
      <c r="J83" s="53" t="s">
        <v>59</v>
      </c>
      <c r="K83" s="14" t="s">
        <v>12</v>
      </c>
      <c r="L83" s="66"/>
      <c r="M83" s="51"/>
      <c r="N83" s="51"/>
      <c r="O83" s="67"/>
      <c r="P83" s="67"/>
      <c r="Q83" s="67"/>
      <c r="R83" s="67"/>
      <c r="S83" s="67"/>
      <c r="T83" s="67"/>
      <c r="U83" s="67"/>
    </row>
    <row r="84">
      <c r="A84" s="69"/>
      <c r="B84" s="70"/>
      <c r="C84" s="71"/>
      <c r="D84" s="72"/>
      <c r="E84" s="73"/>
      <c r="F84" s="73"/>
      <c r="G84" s="21">
        <v>45901.0</v>
      </c>
      <c r="H84" s="33">
        <v>45921.0</v>
      </c>
      <c r="I84" s="77"/>
      <c r="J84" s="78"/>
      <c r="K84" s="79"/>
      <c r="L84" s="74"/>
      <c r="M84" s="73"/>
      <c r="N84" s="73"/>
      <c r="O84" s="75"/>
      <c r="P84" s="75"/>
      <c r="Q84" s="75"/>
      <c r="R84" s="75"/>
      <c r="S84" s="75"/>
      <c r="T84" s="75"/>
      <c r="U84" s="75"/>
    </row>
    <row r="85">
      <c r="A85" s="69"/>
      <c r="B85" s="70"/>
      <c r="C85" s="71"/>
      <c r="D85" s="72"/>
      <c r="E85" s="73"/>
      <c r="F85" s="73"/>
      <c r="G85" s="21">
        <v>45901.0</v>
      </c>
      <c r="H85" s="33">
        <v>45923.0</v>
      </c>
      <c r="I85" s="77"/>
      <c r="J85" s="78"/>
      <c r="K85" s="79"/>
      <c r="L85" s="74"/>
      <c r="M85" s="73"/>
      <c r="N85" s="73"/>
      <c r="O85" s="75"/>
      <c r="P85" s="75"/>
      <c r="Q85" s="75"/>
      <c r="R85" s="75"/>
      <c r="S85" s="75"/>
      <c r="T85" s="75"/>
      <c r="U85" s="75"/>
    </row>
    <row r="86">
      <c r="A86" s="69"/>
      <c r="B86" s="70"/>
      <c r="C86" s="71"/>
      <c r="D86" s="72"/>
      <c r="E86" s="73"/>
      <c r="F86" s="73"/>
      <c r="G86" s="21">
        <v>45901.0</v>
      </c>
      <c r="H86" s="33">
        <v>45925.0</v>
      </c>
      <c r="I86" s="77"/>
      <c r="J86" s="78"/>
      <c r="K86" s="79"/>
      <c r="L86" s="74"/>
      <c r="M86" s="73"/>
      <c r="N86" s="73"/>
      <c r="O86" s="75"/>
      <c r="P86" s="75"/>
      <c r="Q86" s="75"/>
      <c r="R86" s="75"/>
      <c r="S86" s="75"/>
      <c r="T86" s="75"/>
      <c r="U86" s="75"/>
    </row>
    <row r="87">
      <c r="A87" s="48"/>
      <c r="B87" s="49"/>
      <c r="C87" s="50"/>
      <c r="D87" s="19"/>
      <c r="E87" s="51"/>
      <c r="F87" s="51"/>
      <c r="G87" s="21">
        <v>45901.0</v>
      </c>
      <c r="H87" s="33">
        <v>45926.0</v>
      </c>
      <c r="I87" s="52">
        <v>-200.0</v>
      </c>
      <c r="J87" s="53" t="s">
        <v>59</v>
      </c>
      <c r="K87" s="14" t="s">
        <v>12</v>
      </c>
      <c r="L87" s="66"/>
      <c r="M87" s="51"/>
      <c r="N87" s="51"/>
      <c r="O87" s="67"/>
      <c r="P87" s="67"/>
      <c r="Q87" s="67"/>
      <c r="R87" s="67"/>
      <c r="S87" s="67"/>
      <c r="T87" s="67"/>
      <c r="U87" s="67"/>
    </row>
    <row r="88">
      <c r="A88" s="39">
        <v>45915.0</v>
      </c>
      <c r="B88" s="32">
        <v>-1000.0</v>
      </c>
      <c r="C88" s="26" t="s">
        <v>24</v>
      </c>
      <c r="D88" s="14" t="s">
        <v>12</v>
      </c>
      <c r="E88" s="3"/>
      <c r="F88" s="3"/>
      <c r="G88" s="21">
        <v>45901.0</v>
      </c>
      <c r="H88" s="33">
        <v>45929.0</v>
      </c>
      <c r="I88" s="43"/>
      <c r="J88" s="44" t="s">
        <v>77</v>
      </c>
      <c r="K88" s="14" t="s">
        <v>55</v>
      </c>
      <c r="L88" s="6"/>
      <c r="M88" s="3"/>
      <c r="N88" s="3"/>
    </row>
    <row r="89">
      <c r="A89" s="39">
        <v>45915.0</v>
      </c>
      <c r="B89" s="23">
        <v>-255.0</v>
      </c>
      <c r="C89" s="27" t="s">
        <v>73</v>
      </c>
      <c r="D89" s="14" t="s">
        <v>12</v>
      </c>
      <c r="E89" s="3"/>
      <c r="F89" s="3"/>
      <c r="G89" s="21">
        <v>45931.0</v>
      </c>
      <c r="H89" s="22">
        <v>45931.0</v>
      </c>
      <c r="I89" s="13">
        <v>2944.89</v>
      </c>
      <c r="J89" s="7" t="s">
        <v>10</v>
      </c>
      <c r="K89" s="14" t="s">
        <v>7</v>
      </c>
      <c r="L89" s="6"/>
      <c r="M89" s="3"/>
      <c r="N89" s="3"/>
    </row>
    <row r="90">
      <c r="A90" s="39">
        <v>45916.0</v>
      </c>
      <c r="B90" s="23">
        <v>-3100.0</v>
      </c>
      <c r="C90" s="26" t="s">
        <v>26</v>
      </c>
      <c r="D90" s="14" t="s">
        <v>12</v>
      </c>
      <c r="E90" s="3"/>
      <c r="F90" s="3"/>
      <c r="G90" s="21">
        <v>45931.0</v>
      </c>
      <c r="H90" s="22">
        <v>45931.0</v>
      </c>
      <c r="I90" s="23">
        <v>-350.0</v>
      </c>
      <c r="J90" s="26" t="s">
        <v>15</v>
      </c>
      <c r="K90" s="14" t="s">
        <v>12</v>
      </c>
      <c r="L90" s="6"/>
      <c r="M90" s="3"/>
      <c r="N90" s="3"/>
    </row>
    <row r="91">
      <c r="A91" s="39">
        <v>45917.0</v>
      </c>
      <c r="B91" s="23">
        <v>-1000.0</v>
      </c>
      <c r="C91" s="7" t="s">
        <v>42</v>
      </c>
      <c r="D91" s="14" t="s">
        <v>12</v>
      </c>
      <c r="E91" s="3"/>
      <c r="F91" s="3"/>
      <c r="G91" s="21">
        <v>45931.0</v>
      </c>
      <c r="H91" s="22">
        <v>45931.0</v>
      </c>
      <c r="I91" s="23">
        <v>-750.0</v>
      </c>
      <c r="J91" s="26" t="s">
        <v>17</v>
      </c>
      <c r="K91" s="14" t="s">
        <v>12</v>
      </c>
      <c r="L91" s="6"/>
      <c r="M91" s="3"/>
      <c r="N91" s="3"/>
    </row>
    <row r="92">
      <c r="A92" s="3"/>
      <c r="B92" s="43">
        <v>-2196.25</v>
      </c>
      <c r="C92" s="44" t="s">
        <v>77</v>
      </c>
      <c r="D92" s="31"/>
      <c r="E92" s="3"/>
      <c r="F92" s="3"/>
      <c r="G92" s="21">
        <v>45931.0</v>
      </c>
      <c r="H92" s="22">
        <v>45931.0</v>
      </c>
      <c r="I92" s="23">
        <v>-1000.0</v>
      </c>
      <c r="J92" s="26" t="s">
        <v>19</v>
      </c>
      <c r="K92" s="14" t="s">
        <v>12</v>
      </c>
      <c r="L92" s="6"/>
      <c r="M92" s="3"/>
      <c r="N92" s="3"/>
    </row>
    <row r="93">
      <c r="A93" s="12">
        <v>45931.0</v>
      </c>
      <c r="B93" s="13">
        <v>2944.89</v>
      </c>
      <c r="C93" s="7" t="s">
        <v>10</v>
      </c>
      <c r="D93" s="14" t="s">
        <v>7</v>
      </c>
      <c r="E93" s="3"/>
      <c r="F93" s="3"/>
      <c r="G93" s="21">
        <v>45931.0</v>
      </c>
      <c r="H93" s="22">
        <v>45931.0</v>
      </c>
      <c r="I93" s="23">
        <v>-810.0</v>
      </c>
      <c r="J93" s="26" t="s">
        <v>22</v>
      </c>
      <c r="K93" s="14" t="s">
        <v>12</v>
      </c>
      <c r="L93" s="6"/>
      <c r="M93" s="3"/>
      <c r="N93" s="3"/>
    </row>
    <row r="94">
      <c r="A94" s="12">
        <v>45931.0</v>
      </c>
      <c r="B94" s="23">
        <v>-350.0</v>
      </c>
      <c r="C94" s="26" t="s">
        <v>15</v>
      </c>
      <c r="D94" s="14" t="s">
        <v>12</v>
      </c>
      <c r="E94" s="3"/>
      <c r="F94" s="3"/>
      <c r="G94" s="21">
        <v>45931.0</v>
      </c>
      <c r="H94" s="22">
        <v>45932.0</v>
      </c>
      <c r="I94" s="23">
        <v>-58.96</v>
      </c>
      <c r="J94" s="26" t="s">
        <v>28</v>
      </c>
      <c r="K94" s="14" t="s">
        <v>12</v>
      </c>
      <c r="L94" s="24"/>
    </row>
    <row r="95">
      <c r="A95" s="12">
        <v>45931.0</v>
      </c>
      <c r="B95" s="23">
        <v>-750.0</v>
      </c>
      <c r="C95" s="26" t="s">
        <v>17</v>
      </c>
      <c r="D95" s="14" t="s">
        <v>12</v>
      </c>
      <c r="E95" s="3"/>
      <c r="F95" s="3"/>
      <c r="G95" s="21">
        <v>45931.0</v>
      </c>
      <c r="H95" s="22">
        <v>45934.0</v>
      </c>
      <c r="I95" s="23">
        <v>-424.0</v>
      </c>
      <c r="J95" s="26" t="s">
        <v>14</v>
      </c>
      <c r="K95" s="14" t="s">
        <v>12</v>
      </c>
      <c r="L95" s="6"/>
      <c r="M95" s="3"/>
      <c r="N95" s="3"/>
    </row>
    <row r="96">
      <c r="A96" s="12">
        <v>45931.0</v>
      </c>
      <c r="B96" s="23">
        <v>-1000.0</v>
      </c>
      <c r="C96" s="26" t="s">
        <v>19</v>
      </c>
      <c r="D96" s="14" t="s">
        <v>12</v>
      </c>
      <c r="E96" s="3"/>
      <c r="F96" s="3"/>
      <c r="G96" s="21">
        <v>45931.0</v>
      </c>
      <c r="H96" s="22">
        <v>45934.0</v>
      </c>
      <c r="I96" s="23">
        <v>-278.0</v>
      </c>
      <c r="J96" s="26" t="s">
        <v>16</v>
      </c>
      <c r="K96" s="14" t="s">
        <v>12</v>
      </c>
      <c r="L96" s="6"/>
      <c r="M96" s="3"/>
      <c r="N96" s="3"/>
    </row>
    <row r="97">
      <c r="A97" s="12">
        <v>45931.0</v>
      </c>
      <c r="B97" s="23">
        <v>-1000.0</v>
      </c>
      <c r="C97" s="26" t="s">
        <v>22</v>
      </c>
      <c r="D97" s="14" t="s">
        <v>12</v>
      </c>
      <c r="E97" s="3"/>
      <c r="F97" s="3"/>
      <c r="G97" s="21">
        <v>45931.0</v>
      </c>
      <c r="H97" s="22">
        <v>45935.0</v>
      </c>
      <c r="I97" s="13">
        <v>19000.0</v>
      </c>
      <c r="J97" s="7" t="s">
        <v>9</v>
      </c>
      <c r="K97" s="14" t="s">
        <v>7</v>
      </c>
      <c r="L97" s="24"/>
    </row>
    <row r="98">
      <c r="A98" s="12">
        <v>45932.0</v>
      </c>
      <c r="B98" s="23">
        <v>-58.96</v>
      </c>
      <c r="C98" s="26" t="s">
        <v>28</v>
      </c>
      <c r="D98" s="14" t="s">
        <v>12</v>
      </c>
      <c r="E98" s="3"/>
      <c r="F98" s="3"/>
      <c r="G98" s="21">
        <v>45931.0</v>
      </c>
      <c r="H98" s="22">
        <v>45935.0</v>
      </c>
      <c r="I98" s="23">
        <v>-2000.0</v>
      </c>
      <c r="J98" s="26" t="s">
        <v>75</v>
      </c>
      <c r="K98" s="14" t="s">
        <v>12</v>
      </c>
      <c r="L98" s="6"/>
      <c r="M98" s="3"/>
      <c r="N98" s="3"/>
    </row>
    <row r="99">
      <c r="A99" s="12">
        <v>45934.0</v>
      </c>
      <c r="B99" s="23">
        <v>-424.0</v>
      </c>
      <c r="C99" s="26" t="s">
        <v>14</v>
      </c>
      <c r="D99" s="14" t="s">
        <v>12</v>
      </c>
      <c r="E99" s="3"/>
      <c r="F99" s="3"/>
      <c r="G99" s="21">
        <v>45931.0</v>
      </c>
      <c r="H99" s="22">
        <v>45935.0</v>
      </c>
      <c r="I99" s="23">
        <v>-800.0</v>
      </c>
      <c r="J99" s="7" t="s">
        <v>34</v>
      </c>
      <c r="K99" s="14" t="s">
        <v>12</v>
      </c>
      <c r="L99" s="24" t="s">
        <v>66</v>
      </c>
      <c r="M99" s="3"/>
      <c r="N99" s="3"/>
    </row>
    <row r="100">
      <c r="A100" s="12">
        <v>45934.0</v>
      </c>
      <c r="B100" s="23">
        <v>-278.0</v>
      </c>
      <c r="C100" s="26" t="s">
        <v>16</v>
      </c>
      <c r="D100" s="14" t="s">
        <v>12</v>
      </c>
      <c r="E100" s="3"/>
      <c r="F100" s="3"/>
      <c r="G100" s="21">
        <v>45931.0</v>
      </c>
      <c r="H100" s="22">
        <v>45935.0</v>
      </c>
      <c r="I100" s="23">
        <v>-379.5</v>
      </c>
      <c r="J100" s="26" t="s">
        <v>23</v>
      </c>
      <c r="K100" s="14" t="s">
        <v>12</v>
      </c>
      <c r="L100" s="6"/>
      <c r="M100" s="3"/>
      <c r="N100" s="3"/>
    </row>
    <row r="101">
      <c r="A101" s="12">
        <v>45935.0</v>
      </c>
      <c r="B101" s="13">
        <v>19000.0</v>
      </c>
      <c r="C101" s="7" t="s">
        <v>9</v>
      </c>
      <c r="D101" s="14" t="s">
        <v>7</v>
      </c>
      <c r="E101" s="3"/>
      <c r="F101" s="3"/>
      <c r="G101" s="21">
        <v>45931.0</v>
      </c>
      <c r="H101" s="22">
        <v>45937.0</v>
      </c>
      <c r="I101" s="23">
        <v>-280.0</v>
      </c>
      <c r="J101" s="26" t="s">
        <v>29</v>
      </c>
      <c r="K101" s="14" t="s">
        <v>12</v>
      </c>
      <c r="L101" s="6"/>
      <c r="M101" s="3"/>
      <c r="N101" s="3"/>
    </row>
    <row r="102">
      <c r="A102" s="12">
        <v>45935.0</v>
      </c>
      <c r="B102" s="23">
        <v>-1000.0</v>
      </c>
      <c r="C102" s="7" t="s">
        <v>34</v>
      </c>
      <c r="D102" s="14" t="s">
        <v>12</v>
      </c>
      <c r="E102" s="3"/>
      <c r="F102" s="3"/>
      <c r="G102" s="21">
        <v>45931.0</v>
      </c>
      <c r="H102" s="33">
        <v>45940.0</v>
      </c>
      <c r="I102" s="23">
        <v>-404.92</v>
      </c>
      <c r="J102" s="26" t="s">
        <v>35</v>
      </c>
      <c r="K102" s="14" t="s">
        <v>12</v>
      </c>
      <c r="L102" s="6"/>
      <c r="M102" s="3"/>
      <c r="N102" s="3"/>
    </row>
    <row r="103">
      <c r="A103" s="12">
        <v>45935.0</v>
      </c>
      <c r="B103" s="23">
        <v>-2000.0</v>
      </c>
      <c r="C103" s="26" t="s">
        <v>78</v>
      </c>
      <c r="D103" s="14" t="s">
        <v>12</v>
      </c>
      <c r="E103" s="3"/>
      <c r="F103" s="3"/>
      <c r="G103" s="21">
        <v>45931.0</v>
      </c>
      <c r="H103" s="33">
        <v>45940.0</v>
      </c>
      <c r="I103" s="23">
        <v>-1017.86</v>
      </c>
      <c r="J103" s="26" t="s">
        <v>38</v>
      </c>
      <c r="K103" s="14" t="s">
        <v>12</v>
      </c>
      <c r="L103" s="6"/>
      <c r="M103" s="3"/>
      <c r="N103" s="3"/>
    </row>
    <row r="104">
      <c r="A104" s="12">
        <v>45935.0</v>
      </c>
      <c r="B104" s="23">
        <v>-1000.0</v>
      </c>
      <c r="C104" s="7" t="s">
        <v>34</v>
      </c>
      <c r="D104" s="14" t="s">
        <v>12</v>
      </c>
      <c r="E104" s="3"/>
      <c r="F104" s="3"/>
      <c r="G104" s="21">
        <v>45931.0</v>
      </c>
      <c r="H104" s="33">
        <v>45940.0</v>
      </c>
      <c r="I104" s="23">
        <v>-554.85</v>
      </c>
      <c r="J104" s="26" t="s">
        <v>37</v>
      </c>
      <c r="K104" s="14" t="s">
        <v>12</v>
      </c>
      <c r="L104" s="6"/>
      <c r="M104" s="3"/>
      <c r="N104" s="3"/>
    </row>
    <row r="105">
      <c r="A105" s="12">
        <v>45935.0</v>
      </c>
      <c r="B105" s="23">
        <v>-379.5</v>
      </c>
      <c r="C105" s="26" t="s">
        <v>23</v>
      </c>
      <c r="D105" s="14" t="s">
        <v>12</v>
      </c>
      <c r="E105" s="3"/>
      <c r="F105" s="3"/>
      <c r="G105" s="21">
        <v>45931.0</v>
      </c>
      <c r="H105" s="33">
        <v>45945.0</v>
      </c>
      <c r="I105" s="13">
        <v>2954.0</v>
      </c>
      <c r="J105" s="7" t="s">
        <v>10</v>
      </c>
      <c r="K105" s="14" t="s">
        <v>7</v>
      </c>
      <c r="L105" s="6"/>
      <c r="M105" s="3"/>
      <c r="N105" s="3"/>
    </row>
    <row r="106">
      <c r="A106" s="12">
        <v>45937.0</v>
      </c>
      <c r="B106" s="23">
        <v>-280.0</v>
      </c>
      <c r="C106" s="26" t="s">
        <v>29</v>
      </c>
      <c r="D106" s="14" t="s">
        <v>12</v>
      </c>
      <c r="E106" s="3"/>
      <c r="F106" s="3"/>
      <c r="G106" s="21">
        <v>45931.0</v>
      </c>
      <c r="H106" s="33">
        <v>45945.0</v>
      </c>
      <c r="I106" s="23">
        <v>-550.0</v>
      </c>
      <c r="J106" s="26" t="s">
        <v>43</v>
      </c>
      <c r="K106" s="14" t="s">
        <v>12</v>
      </c>
      <c r="L106" s="6"/>
      <c r="M106" s="3"/>
      <c r="N106" s="3"/>
    </row>
    <row r="107">
      <c r="A107" s="12">
        <v>45938.0</v>
      </c>
      <c r="B107" s="23">
        <v>-250.0</v>
      </c>
      <c r="C107" s="26" t="s">
        <v>57</v>
      </c>
      <c r="D107" s="14" t="s">
        <v>12</v>
      </c>
      <c r="E107" s="3"/>
      <c r="F107" s="3"/>
      <c r="G107" s="21">
        <v>45931.0</v>
      </c>
      <c r="H107" s="33">
        <v>45945.0</v>
      </c>
      <c r="I107" s="23">
        <v>-256.13</v>
      </c>
      <c r="J107" s="26" t="s">
        <v>56</v>
      </c>
      <c r="K107" s="14" t="s">
        <v>12</v>
      </c>
      <c r="L107" s="6"/>
      <c r="M107" s="3"/>
      <c r="N107" s="3"/>
    </row>
    <row r="108">
      <c r="A108" s="39">
        <v>45940.0</v>
      </c>
      <c r="B108" s="23">
        <v>-404.92</v>
      </c>
      <c r="C108" s="26" t="s">
        <v>35</v>
      </c>
      <c r="D108" s="14" t="s">
        <v>12</v>
      </c>
      <c r="E108" s="3"/>
      <c r="F108" s="3"/>
      <c r="G108" s="21">
        <v>45931.0</v>
      </c>
      <c r="H108" s="33">
        <v>45945.0</v>
      </c>
      <c r="I108" s="23">
        <v>-350.0</v>
      </c>
      <c r="J108" s="26" t="s">
        <v>15</v>
      </c>
      <c r="K108" s="14" t="s">
        <v>12</v>
      </c>
      <c r="L108" s="6"/>
      <c r="M108" s="3"/>
      <c r="N108" s="3"/>
    </row>
    <row r="109">
      <c r="A109" s="39">
        <v>45940.0</v>
      </c>
      <c r="B109" s="23">
        <v>-554.85</v>
      </c>
      <c r="C109" s="26" t="s">
        <v>37</v>
      </c>
      <c r="D109" s="14" t="s">
        <v>12</v>
      </c>
      <c r="E109" s="3"/>
      <c r="F109" s="3"/>
      <c r="G109" s="21">
        <v>45931.0</v>
      </c>
      <c r="H109" s="33">
        <v>45945.0</v>
      </c>
      <c r="I109" s="23">
        <v>-750.0</v>
      </c>
      <c r="J109" s="26" t="s">
        <v>17</v>
      </c>
      <c r="K109" s="14" t="s">
        <v>12</v>
      </c>
      <c r="L109" s="6"/>
      <c r="M109" s="3"/>
      <c r="N109" s="3"/>
    </row>
    <row r="110">
      <c r="A110" s="39">
        <v>45945.0</v>
      </c>
      <c r="B110" s="13">
        <v>2954.0</v>
      </c>
      <c r="C110" s="7" t="s">
        <v>10</v>
      </c>
      <c r="D110" s="14" t="s">
        <v>7</v>
      </c>
      <c r="E110" s="3"/>
      <c r="F110" s="3"/>
      <c r="G110" s="21">
        <v>45931.0</v>
      </c>
      <c r="H110" s="33">
        <v>45945.0</v>
      </c>
      <c r="I110" s="23">
        <v>-255.0</v>
      </c>
      <c r="J110" s="27" t="s">
        <v>73</v>
      </c>
      <c r="K110" s="14" t="s">
        <v>12</v>
      </c>
      <c r="L110" s="6"/>
      <c r="M110" s="3"/>
      <c r="N110" s="3"/>
    </row>
    <row r="111">
      <c r="A111" s="39">
        <v>45945.0</v>
      </c>
      <c r="B111" s="23">
        <v>-550.0</v>
      </c>
      <c r="C111" s="26" t="s">
        <v>43</v>
      </c>
      <c r="D111" s="14" t="s">
        <v>12</v>
      </c>
      <c r="E111" s="3"/>
      <c r="F111" s="3"/>
      <c r="G111" s="21">
        <v>45931.0</v>
      </c>
      <c r="H111" s="33">
        <v>45945.0</v>
      </c>
      <c r="I111" s="23">
        <v>-250.0</v>
      </c>
      <c r="J111" s="26" t="s">
        <v>57</v>
      </c>
      <c r="K111" s="14" t="s">
        <v>12</v>
      </c>
      <c r="L111" s="6"/>
      <c r="M111" s="3"/>
      <c r="N111" s="3"/>
    </row>
    <row r="112">
      <c r="A112" s="39">
        <v>45945.0</v>
      </c>
      <c r="B112" s="23">
        <v>-256.13</v>
      </c>
      <c r="C112" s="26" t="s">
        <v>56</v>
      </c>
      <c r="D112" s="14" t="s">
        <v>12</v>
      </c>
      <c r="E112" s="3"/>
      <c r="F112" s="3"/>
      <c r="G112" s="21">
        <v>45931.0</v>
      </c>
      <c r="H112" s="33">
        <v>45946.0</v>
      </c>
      <c r="I112" s="23">
        <v>-3100.0</v>
      </c>
      <c r="J112" s="26" t="s">
        <v>26</v>
      </c>
      <c r="K112" s="14" t="s">
        <v>12</v>
      </c>
      <c r="L112" s="6"/>
      <c r="M112" s="3"/>
      <c r="N112" s="3"/>
    </row>
    <row r="113">
      <c r="A113" s="39">
        <v>45945.0</v>
      </c>
      <c r="B113" s="23">
        <v>-350.0</v>
      </c>
      <c r="C113" s="26" t="s">
        <v>15</v>
      </c>
      <c r="D113" s="14" t="s">
        <v>12</v>
      </c>
      <c r="E113" s="3"/>
      <c r="F113" s="3"/>
      <c r="G113" s="21">
        <v>45931.0</v>
      </c>
      <c r="H113" s="33">
        <v>45947.0</v>
      </c>
      <c r="I113" s="23">
        <v>-1000.0</v>
      </c>
      <c r="J113" s="7" t="s">
        <v>42</v>
      </c>
      <c r="K113" s="14" t="s">
        <v>12</v>
      </c>
      <c r="L113" s="24" t="s">
        <v>66</v>
      </c>
      <c r="M113" s="3"/>
      <c r="N113" s="3"/>
    </row>
    <row r="114">
      <c r="A114" s="39">
        <v>45945.0</v>
      </c>
      <c r="B114" s="23">
        <v>-750.0</v>
      </c>
      <c r="C114" s="26" t="s">
        <v>17</v>
      </c>
      <c r="D114" s="14" t="s">
        <v>12</v>
      </c>
      <c r="E114" s="3"/>
      <c r="F114" s="3"/>
      <c r="G114" s="21">
        <v>45931.0</v>
      </c>
      <c r="H114" s="42"/>
      <c r="I114" s="43">
        <f>SUM(I88:I113)</f>
        <v>9279.67</v>
      </c>
      <c r="J114" s="44" t="s">
        <v>77</v>
      </c>
      <c r="K114" s="14" t="s">
        <v>55</v>
      </c>
      <c r="L114" s="6"/>
      <c r="M114" s="3"/>
      <c r="N114" s="3"/>
    </row>
    <row r="115">
      <c r="A115" s="39">
        <v>45945.0</v>
      </c>
      <c r="B115" s="23">
        <v>-255.0</v>
      </c>
      <c r="C115" s="27" t="s">
        <v>73</v>
      </c>
      <c r="D115" s="14" t="s">
        <v>12</v>
      </c>
      <c r="E115" s="3"/>
      <c r="F115" s="3"/>
      <c r="G115" s="41"/>
      <c r="H115" s="42"/>
      <c r="I115" s="80"/>
      <c r="J115" s="3"/>
      <c r="K115" s="3"/>
      <c r="L115" s="6"/>
      <c r="M115" s="3"/>
      <c r="N115" s="3"/>
    </row>
    <row r="116">
      <c r="A116" s="39">
        <v>45946.0</v>
      </c>
      <c r="B116" s="23">
        <v>-3100.0</v>
      </c>
      <c r="C116" s="26" t="s">
        <v>26</v>
      </c>
      <c r="D116" s="14" t="s">
        <v>12</v>
      </c>
      <c r="E116" s="3"/>
      <c r="F116" s="3"/>
      <c r="G116" s="41"/>
      <c r="H116" s="42"/>
      <c r="I116" s="80"/>
      <c r="J116" s="3"/>
      <c r="K116" s="3"/>
      <c r="L116" s="6"/>
      <c r="M116" s="3"/>
      <c r="N116" s="3"/>
    </row>
    <row r="117">
      <c r="A117" s="39">
        <v>45947.0</v>
      </c>
      <c r="B117" s="23">
        <v>-1000.0</v>
      </c>
      <c r="C117" s="7" t="s">
        <v>42</v>
      </c>
      <c r="D117" s="14" t="s">
        <v>12</v>
      </c>
      <c r="E117" s="3"/>
      <c r="F117" s="3"/>
      <c r="G117" s="41"/>
      <c r="H117" s="42"/>
      <c r="I117" s="80"/>
      <c r="J117" s="3"/>
      <c r="K117" s="3"/>
      <c r="L117" s="6"/>
      <c r="M117" s="3"/>
      <c r="N117" s="3"/>
    </row>
    <row r="118">
      <c r="A118" s="3"/>
      <c r="B118" s="43">
        <v>6711.28</v>
      </c>
      <c r="C118" s="44" t="s">
        <v>77</v>
      </c>
      <c r="D118" s="31"/>
      <c r="E118" s="3"/>
      <c r="F118" s="3"/>
      <c r="G118" s="41"/>
      <c r="H118" s="42"/>
      <c r="I118" s="80"/>
      <c r="J118" s="3"/>
      <c r="K118" s="3"/>
      <c r="L118" s="6"/>
      <c r="M118" s="3"/>
      <c r="N118" s="3"/>
    </row>
    <row r="119">
      <c r="A119" s="12">
        <v>45962.0</v>
      </c>
      <c r="B119" s="13">
        <v>2944.89</v>
      </c>
      <c r="C119" s="7" t="s">
        <v>10</v>
      </c>
      <c r="D119" s="14" t="s">
        <v>7</v>
      </c>
      <c r="E119" s="3"/>
      <c r="F119" s="3"/>
      <c r="G119" s="41"/>
      <c r="H119" s="42"/>
      <c r="I119" s="80"/>
      <c r="J119" s="3"/>
      <c r="K119" s="3"/>
      <c r="L119" s="6"/>
      <c r="M119" s="3"/>
      <c r="N119" s="3"/>
    </row>
    <row r="120">
      <c r="A120" s="12">
        <v>45962.0</v>
      </c>
      <c r="B120" s="23">
        <v>-350.0</v>
      </c>
      <c r="C120" s="26" t="s">
        <v>15</v>
      </c>
      <c r="D120" s="14" t="s">
        <v>12</v>
      </c>
      <c r="E120" s="3"/>
      <c r="F120" s="3"/>
      <c r="G120" s="41"/>
      <c r="H120" s="42"/>
      <c r="I120" s="80"/>
      <c r="J120" s="3"/>
      <c r="K120" s="3"/>
      <c r="L120" s="6"/>
      <c r="M120" s="3"/>
      <c r="N120" s="3"/>
    </row>
    <row r="121">
      <c r="A121" s="12">
        <v>45962.0</v>
      </c>
      <c r="B121" s="23">
        <v>-750.0</v>
      </c>
      <c r="C121" s="26" t="s">
        <v>17</v>
      </c>
      <c r="D121" s="14" t="s">
        <v>12</v>
      </c>
      <c r="E121" s="3"/>
      <c r="F121" s="3"/>
      <c r="G121" s="41"/>
      <c r="H121" s="42"/>
      <c r="I121" s="80"/>
      <c r="J121" s="3"/>
      <c r="K121" s="3"/>
      <c r="L121" s="6"/>
      <c r="M121" s="3"/>
      <c r="N121" s="3"/>
    </row>
    <row r="122">
      <c r="A122" s="12">
        <v>45962.0</v>
      </c>
      <c r="B122" s="23">
        <v>-1000.0</v>
      </c>
      <c r="C122" s="26" t="s">
        <v>19</v>
      </c>
      <c r="D122" s="14" t="s">
        <v>12</v>
      </c>
      <c r="E122" s="3"/>
      <c r="F122" s="3"/>
      <c r="G122" s="41"/>
      <c r="H122" s="42"/>
      <c r="I122" s="80"/>
      <c r="J122" s="3"/>
      <c r="K122" s="3"/>
      <c r="L122" s="6"/>
      <c r="M122" s="3"/>
      <c r="N122" s="3"/>
    </row>
    <row r="123">
      <c r="A123" s="12">
        <v>45962.0</v>
      </c>
      <c r="B123" s="23">
        <v>-1000.0</v>
      </c>
      <c r="C123" s="26" t="s">
        <v>22</v>
      </c>
      <c r="D123" s="14" t="s">
        <v>12</v>
      </c>
      <c r="E123" s="3"/>
      <c r="F123" s="3"/>
      <c r="G123" s="41"/>
      <c r="H123" s="42"/>
      <c r="I123" s="80"/>
      <c r="J123" s="3"/>
      <c r="K123" s="3"/>
      <c r="L123" s="6"/>
      <c r="M123" s="3"/>
      <c r="N123" s="3"/>
    </row>
    <row r="124">
      <c r="A124" s="12">
        <v>45962.0</v>
      </c>
      <c r="B124" s="23">
        <v>-58.96</v>
      </c>
      <c r="C124" s="26" t="s">
        <v>28</v>
      </c>
      <c r="D124" s="14" t="s">
        <v>12</v>
      </c>
      <c r="E124" s="3"/>
      <c r="F124" s="3"/>
      <c r="G124" s="41"/>
      <c r="H124" s="42"/>
      <c r="I124" s="80"/>
      <c r="J124" s="3"/>
      <c r="K124" s="3"/>
      <c r="L124" s="6"/>
      <c r="M124" s="3"/>
      <c r="N124" s="3"/>
    </row>
    <row r="125">
      <c r="A125" s="12">
        <v>45962.0</v>
      </c>
      <c r="B125" s="23">
        <v>-424.0</v>
      </c>
      <c r="C125" s="26" t="s">
        <v>14</v>
      </c>
      <c r="D125" s="14" t="s">
        <v>12</v>
      </c>
      <c r="E125" s="3"/>
      <c r="F125" s="3"/>
      <c r="G125" s="41"/>
      <c r="H125" s="42"/>
      <c r="I125" s="80"/>
      <c r="J125" s="3"/>
      <c r="K125" s="3"/>
      <c r="L125" s="6"/>
      <c r="M125" s="3"/>
      <c r="N125" s="3"/>
    </row>
    <row r="126">
      <c r="A126" s="12">
        <v>45962.0</v>
      </c>
      <c r="B126" s="23">
        <v>-278.0</v>
      </c>
      <c r="C126" s="26" t="s">
        <v>16</v>
      </c>
      <c r="D126" s="14" t="s">
        <v>12</v>
      </c>
      <c r="E126" s="3"/>
      <c r="F126" s="3"/>
      <c r="G126" s="41"/>
      <c r="H126" s="42"/>
      <c r="I126" s="80"/>
      <c r="J126" s="3"/>
      <c r="K126" s="3"/>
      <c r="L126" s="6"/>
      <c r="M126" s="3"/>
      <c r="N126" s="3"/>
    </row>
    <row r="127">
      <c r="A127" s="12">
        <v>45966.0</v>
      </c>
      <c r="B127" s="13">
        <v>19000.0</v>
      </c>
      <c r="C127" s="7" t="s">
        <v>9</v>
      </c>
      <c r="D127" s="14" t="s">
        <v>7</v>
      </c>
      <c r="E127" s="3"/>
      <c r="F127" s="3"/>
      <c r="G127" s="41"/>
      <c r="H127" s="42"/>
      <c r="I127" s="80"/>
      <c r="J127" s="3"/>
      <c r="K127" s="3"/>
      <c r="L127" s="6"/>
      <c r="M127" s="3"/>
      <c r="N127" s="3"/>
    </row>
    <row r="128">
      <c r="A128" s="12">
        <v>45966.0</v>
      </c>
      <c r="B128" s="23">
        <v>-1000.0</v>
      </c>
      <c r="C128" s="7" t="s">
        <v>34</v>
      </c>
      <c r="D128" s="14" t="s">
        <v>12</v>
      </c>
      <c r="E128" s="3"/>
      <c r="F128" s="3"/>
      <c r="G128" s="41"/>
      <c r="H128" s="42"/>
      <c r="I128" s="80"/>
      <c r="J128" s="3"/>
      <c r="K128" s="3"/>
      <c r="L128" s="6"/>
      <c r="M128" s="3"/>
      <c r="N128" s="3"/>
    </row>
    <row r="129">
      <c r="A129" s="12">
        <v>45966.0</v>
      </c>
      <c r="B129" s="23">
        <v>-2000.0</v>
      </c>
      <c r="C129" s="26" t="s">
        <v>78</v>
      </c>
      <c r="D129" s="14" t="s">
        <v>12</v>
      </c>
      <c r="E129" s="3"/>
      <c r="F129" s="3"/>
      <c r="G129" s="41"/>
      <c r="H129" s="42"/>
      <c r="I129" s="80"/>
      <c r="J129" s="3"/>
      <c r="K129" s="3"/>
      <c r="L129" s="6"/>
      <c r="M129" s="3"/>
      <c r="N129" s="3"/>
    </row>
    <row r="130">
      <c r="A130" s="12">
        <v>45966.0</v>
      </c>
      <c r="B130" s="23">
        <v>-1000.0</v>
      </c>
      <c r="C130" s="7" t="s">
        <v>34</v>
      </c>
      <c r="D130" s="14" t="s">
        <v>12</v>
      </c>
      <c r="E130" s="3"/>
      <c r="F130" s="3"/>
      <c r="G130" s="41"/>
      <c r="H130" s="42"/>
      <c r="I130" s="80"/>
      <c r="J130" s="3"/>
      <c r="K130" s="3"/>
      <c r="L130" s="6"/>
      <c r="M130" s="3"/>
      <c r="N130" s="3"/>
    </row>
    <row r="131">
      <c r="A131" s="12">
        <v>45966.0</v>
      </c>
      <c r="B131" s="23">
        <v>-379.5</v>
      </c>
      <c r="C131" s="26" t="s">
        <v>23</v>
      </c>
      <c r="D131" s="14" t="s">
        <v>12</v>
      </c>
      <c r="E131" s="3"/>
      <c r="F131" s="3"/>
      <c r="G131" s="41"/>
      <c r="H131" s="42"/>
      <c r="I131" s="80"/>
      <c r="J131" s="3"/>
      <c r="K131" s="3"/>
      <c r="L131" s="6"/>
      <c r="M131" s="3"/>
      <c r="N131" s="3"/>
    </row>
    <row r="132">
      <c r="A132" s="12">
        <v>45968.0</v>
      </c>
      <c r="B132" s="23">
        <v>-280.0</v>
      </c>
      <c r="C132" s="26" t="s">
        <v>29</v>
      </c>
      <c r="D132" s="14" t="s">
        <v>12</v>
      </c>
      <c r="E132" s="3"/>
      <c r="F132" s="3"/>
      <c r="G132" s="41"/>
      <c r="H132" s="42"/>
      <c r="I132" s="80"/>
      <c r="J132" s="3"/>
      <c r="K132" s="3"/>
      <c r="L132" s="6"/>
      <c r="M132" s="3"/>
      <c r="N132" s="3"/>
    </row>
    <row r="133">
      <c r="A133" s="12">
        <v>45969.0</v>
      </c>
      <c r="B133" s="23">
        <v>-250.0</v>
      </c>
      <c r="C133" s="26" t="s">
        <v>57</v>
      </c>
      <c r="D133" s="14" t="s">
        <v>12</v>
      </c>
      <c r="E133" s="3"/>
      <c r="F133" s="3"/>
      <c r="G133" s="41"/>
      <c r="H133" s="42"/>
      <c r="I133" s="80"/>
      <c r="J133" s="3"/>
      <c r="K133" s="3"/>
      <c r="L133" s="6"/>
      <c r="M133" s="3"/>
      <c r="N133" s="3"/>
    </row>
    <row r="134">
      <c r="A134" s="39">
        <v>45971.0</v>
      </c>
      <c r="B134" s="23">
        <v>-404.92</v>
      </c>
      <c r="C134" s="26" t="s">
        <v>35</v>
      </c>
      <c r="D134" s="14" t="s">
        <v>12</v>
      </c>
      <c r="E134" s="3"/>
      <c r="F134" s="3"/>
      <c r="G134" s="81"/>
      <c r="H134" s="82"/>
    </row>
    <row r="135">
      <c r="A135" s="39">
        <v>45971.0</v>
      </c>
      <c r="B135" s="23">
        <v>-554.85</v>
      </c>
      <c r="C135" s="26" t="s">
        <v>37</v>
      </c>
      <c r="D135" s="14" t="s">
        <v>12</v>
      </c>
      <c r="E135" s="3"/>
      <c r="F135" s="3"/>
      <c r="G135" s="81"/>
      <c r="H135" s="82"/>
    </row>
    <row r="136">
      <c r="A136" s="39">
        <v>45976.0</v>
      </c>
      <c r="B136" s="13">
        <v>2954.0</v>
      </c>
      <c r="C136" s="7" t="s">
        <v>10</v>
      </c>
      <c r="D136" s="14" t="s">
        <v>7</v>
      </c>
      <c r="E136" s="3"/>
      <c r="F136" s="3"/>
      <c r="G136" s="81"/>
      <c r="H136" s="82"/>
    </row>
    <row r="137">
      <c r="A137" s="39">
        <v>45976.0</v>
      </c>
      <c r="B137" s="23">
        <v>-550.0</v>
      </c>
      <c r="C137" s="26" t="s">
        <v>43</v>
      </c>
      <c r="D137" s="14" t="s">
        <v>12</v>
      </c>
      <c r="E137" s="3"/>
      <c r="F137" s="3"/>
      <c r="G137" s="81"/>
      <c r="H137" s="82"/>
    </row>
    <row r="138">
      <c r="A138" s="39">
        <v>45976.0</v>
      </c>
      <c r="B138" s="23">
        <v>-350.0</v>
      </c>
      <c r="C138" s="26" t="s">
        <v>15</v>
      </c>
      <c r="D138" s="14" t="s">
        <v>12</v>
      </c>
      <c r="E138" s="3"/>
      <c r="F138" s="3"/>
      <c r="G138" s="81"/>
      <c r="H138" s="82"/>
    </row>
    <row r="139">
      <c r="A139" s="39">
        <v>45976.0</v>
      </c>
      <c r="B139" s="23">
        <v>-256.13</v>
      </c>
      <c r="C139" s="26" t="s">
        <v>56</v>
      </c>
      <c r="D139" s="14" t="s">
        <v>12</v>
      </c>
      <c r="E139" s="3"/>
      <c r="F139" s="3"/>
      <c r="G139" s="81"/>
      <c r="H139" s="82"/>
    </row>
    <row r="140">
      <c r="A140" s="39">
        <v>45976.0</v>
      </c>
      <c r="B140" s="23">
        <v>-750.0</v>
      </c>
      <c r="C140" s="26" t="s">
        <v>17</v>
      </c>
      <c r="D140" s="14" t="s">
        <v>12</v>
      </c>
      <c r="E140" s="3"/>
      <c r="F140" s="3"/>
      <c r="G140" s="81"/>
      <c r="H140" s="82"/>
    </row>
    <row r="141">
      <c r="A141" s="39">
        <v>45976.0</v>
      </c>
      <c r="B141" s="23">
        <v>-255.0</v>
      </c>
      <c r="C141" s="27" t="s">
        <v>73</v>
      </c>
      <c r="D141" s="14" t="s">
        <v>12</v>
      </c>
      <c r="E141" s="3"/>
      <c r="F141" s="3"/>
      <c r="G141" s="81"/>
      <c r="H141" s="82"/>
    </row>
    <row r="142">
      <c r="A142" s="39">
        <v>45977.0</v>
      </c>
      <c r="B142" s="23">
        <v>-3100.0</v>
      </c>
      <c r="C142" s="26" t="s">
        <v>26</v>
      </c>
      <c r="D142" s="14" t="s">
        <v>12</v>
      </c>
      <c r="E142" s="3"/>
      <c r="F142" s="3"/>
      <c r="G142" s="81"/>
      <c r="H142" s="82"/>
    </row>
    <row r="143">
      <c r="A143" s="39">
        <v>45978.0</v>
      </c>
      <c r="B143" s="23">
        <v>-1000.0</v>
      </c>
      <c r="C143" s="7" t="s">
        <v>42</v>
      </c>
      <c r="D143" s="14" t="s">
        <v>12</v>
      </c>
      <c r="E143" s="3"/>
      <c r="F143" s="3"/>
      <c r="G143" s="81"/>
      <c r="H143" s="82"/>
    </row>
    <row r="144">
      <c r="A144" s="3"/>
      <c r="B144" s="43">
        <v>15618.81</v>
      </c>
      <c r="C144" s="44" t="s">
        <v>77</v>
      </c>
      <c r="D144" s="31"/>
      <c r="E144" s="3"/>
      <c r="F144" s="3"/>
      <c r="G144" s="81"/>
      <c r="H144" s="82"/>
    </row>
    <row r="145">
      <c r="A145" s="12">
        <v>45992.0</v>
      </c>
      <c r="B145" s="13">
        <v>2944.89</v>
      </c>
      <c r="C145" s="7" t="s">
        <v>10</v>
      </c>
      <c r="D145" s="14" t="s">
        <v>7</v>
      </c>
      <c r="E145" s="3"/>
      <c r="F145" s="3"/>
      <c r="G145" s="81"/>
      <c r="H145" s="82"/>
    </row>
    <row r="146">
      <c r="A146" s="12">
        <v>45992.0</v>
      </c>
      <c r="B146" s="23">
        <v>-350.0</v>
      </c>
      <c r="C146" s="26" t="s">
        <v>15</v>
      </c>
      <c r="D146" s="14" t="s">
        <v>12</v>
      </c>
      <c r="E146" s="3"/>
      <c r="F146" s="3"/>
      <c r="G146" s="81"/>
      <c r="H146" s="82"/>
    </row>
    <row r="147">
      <c r="A147" s="12">
        <v>45992.0</v>
      </c>
      <c r="B147" s="23">
        <v>-750.0</v>
      </c>
      <c r="C147" s="26" t="s">
        <v>17</v>
      </c>
      <c r="D147" s="14" t="s">
        <v>12</v>
      </c>
      <c r="E147" s="3"/>
      <c r="F147" s="3"/>
      <c r="G147" s="81"/>
      <c r="H147" s="82"/>
    </row>
    <row r="148">
      <c r="A148" s="12">
        <v>45992.0</v>
      </c>
      <c r="B148" s="23">
        <v>-1000.0</v>
      </c>
      <c r="C148" s="26" t="s">
        <v>19</v>
      </c>
      <c r="D148" s="14" t="s">
        <v>12</v>
      </c>
      <c r="E148" s="3"/>
      <c r="F148" s="3"/>
      <c r="G148" s="81"/>
      <c r="H148" s="82"/>
    </row>
    <row r="149">
      <c r="A149" s="12">
        <v>45992.0</v>
      </c>
      <c r="B149" s="23">
        <v>-1000.0</v>
      </c>
      <c r="C149" s="26" t="s">
        <v>22</v>
      </c>
      <c r="D149" s="14" t="s">
        <v>12</v>
      </c>
      <c r="E149" s="3"/>
      <c r="F149" s="3"/>
      <c r="G149" s="81"/>
      <c r="H149" s="82"/>
    </row>
    <row r="150">
      <c r="A150" s="12">
        <v>45992.0</v>
      </c>
      <c r="B150" s="23">
        <v>-58.96</v>
      </c>
      <c r="C150" s="26" t="s">
        <v>28</v>
      </c>
      <c r="D150" s="14" t="s">
        <v>12</v>
      </c>
      <c r="E150" s="3"/>
      <c r="F150" s="3"/>
      <c r="G150" s="81"/>
      <c r="H150" s="82"/>
    </row>
    <row r="151">
      <c r="A151" s="12">
        <v>45992.0</v>
      </c>
      <c r="B151" s="23">
        <v>-424.0</v>
      </c>
      <c r="C151" s="26" t="s">
        <v>14</v>
      </c>
      <c r="D151" s="14" t="s">
        <v>12</v>
      </c>
      <c r="E151" s="3"/>
      <c r="F151" s="3"/>
      <c r="G151" s="81"/>
      <c r="H151" s="82"/>
    </row>
    <row r="152">
      <c r="A152" s="12">
        <v>45992.0</v>
      </c>
      <c r="B152" s="23">
        <v>-278.0</v>
      </c>
      <c r="C152" s="26" t="s">
        <v>16</v>
      </c>
      <c r="D152" s="14" t="s">
        <v>12</v>
      </c>
      <c r="E152" s="3"/>
      <c r="F152" s="3"/>
      <c r="G152" s="81"/>
      <c r="H152" s="82"/>
    </row>
    <row r="153">
      <c r="A153" s="12">
        <v>45996.0</v>
      </c>
      <c r="B153" s="13">
        <v>19000.0</v>
      </c>
      <c r="C153" s="7" t="s">
        <v>9</v>
      </c>
      <c r="D153" s="14" t="s">
        <v>7</v>
      </c>
      <c r="E153" s="3"/>
      <c r="F153" s="3"/>
      <c r="G153" s="41"/>
      <c r="H153" s="42"/>
      <c r="I153" s="80"/>
      <c r="J153" s="3"/>
      <c r="K153" s="3"/>
      <c r="L153" s="6"/>
      <c r="M153" s="3"/>
      <c r="N153" s="3"/>
    </row>
    <row r="154">
      <c r="A154" s="12">
        <v>45996.0</v>
      </c>
      <c r="B154" s="23">
        <v>-1000.0</v>
      </c>
      <c r="C154" s="7" t="s">
        <v>34</v>
      </c>
      <c r="D154" s="14" t="s">
        <v>12</v>
      </c>
      <c r="E154" s="3"/>
      <c r="F154" s="3"/>
      <c r="G154" s="41"/>
      <c r="H154" s="42"/>
      <c r="I154" s="80"/>
      <c r="J154" s="3"/>
      <c r="K154" s="3"/>
      <c r="L154" s="6"/>
      <c r="M154" s="3"/>
      <c r="N154" s="3"/>
    </row>
    <row r="155">
      <c r="A155" s="12">
        <v>45996.0</v>
      </c>
      <c r="B155" s="23">
        <v>-2000.0</v>
      </c>
      <c r="C155" s="26" t="s">
        <v>78</v>
      </c>
      <c r="D155" s="14" t="s">
        <v>12</v>
      </c>
      <c r="E155" s="3"/>
      <c r="F155" s="3"/>
      <c r="G155" s="41"/>
      <c r="H155" s="42"/>
      <c r="I155" s="80"/>
      <c r="J155" s="3"/>
      <c r="K155" s="3"/>
      <c r="L155" s="6"/>
      <c r="M155" s="3"/>
      <c r="N155" s="3"/>
    </row>
    <row r="156">
      <c r="A156" s="12">
        <v>45996.0</v>
      </c>
      <c r="B156" s="23">
        <v>-1000.0</v>
      </c>
      <c r="C156" s="7" t="s">
        <v>34</v>
      </c>
      <c r="D156" s="14" t="s">
        <v>12</v>
      </c>
      <c r="E156" s="3"/>
      <c r="F156" s="3"/>
      <c r="G156" s="41"/>
      <c r="H156" s="42"/>
      <c r="I156" s="80"/>
      <c r="J156" s="3"/>
      <c r="K156" s="3"/>
      <c r="L156" s="6"/>
      <c r="M156" s="3"/>
      <c r="N156" s="3"/>
    </row>
    <row r="157">
      <c r="A157" s="12">
        <v>45996.0</v>
      </c>
      <c r="B157" s="23">
        <v>-379.5</v>
      </c>
      <c r="C157" s="26" t="s">
        <v>23</v>
      </c>
      <c r="D157" s="14" t="s">
        <v>12</v>
      </c>
      <c r="E157" s="3"/>
      <c r="F157" s="3"/>
      <c r="G157" s="41"/>
      <c r="H157" s="83" t="s">
        <v>79</v>
      </c>
      <c r="I157" s="23">
        <v>468.0</v>
      </c>
      <c r="J157" s="3"/>
      <c r="K157" s="3"/>
      <c r="L157" s="6"/>
      <c r="M157" s="3"/>
      <c r="N157" s="3"/>
    </row>
    <row r="158">
      <c r="A158" s="12">
        <v>45998.0</v>
      </c>
      <c r="B158" s="23">
        <v>-280.0</v>
      </c>
      <c r="C158" s="26" t="s">
        <v>29</v>
      </c>
      <c r="D158" s="14" t="s">
        <v>12</v>
      </c>
      <c r="E158" s="3"/>
      <c r="F158" s="3"/>
      <c r="G158" s="41"/>
      <c r="H158" s="83" t="s">
        <v>80</v>
      </c>
      <c r="I158" s="23">
        <v>11000.0</v>
      </c>
      <c r="J158" s="3"/>
      <c r="K158" s="3"/>
      <c r="L158" s="6"/>
      <c r="M158" s="3"/>
      <c r="N158" s="3"/>
    </row>
    <row r="159">
      <c r="A159" s="12">
        <v>45999.0</v>
      </c>
      <c r="B159" s="23">
        <v>-250.0</v>
      </c>
      <c r="C159" s="26" t="s">
        <v>57</v>
      </c>
      <c r="D159" s="14" t="s">
        <v>12</v>
      </c>
      <c r="E159" s="3"/>
      <c r="F159" s="3"/>
      <c r="G159" s="41"/>
      <c r="H159" s="83" t="s">
        <v>81</v>
      </c>
      <c r="I159" s="23">
        <v>-8516.97</v>
      </c>
      <c r="J159" s="3"/>
      <c r="K159" s="3"/>
      <c r="L159" s="6"/>
      <c r="M159" s="3"/>
      <c r="N159" s="3"/>
    </row>
    <row r="160">
      <c r="A160" s="39">
        <v>46001.0</v>
      </c>
      <c r="B160" s="23">
        <v>-404.92</v>
      </c>
      <c r="C160" s="26" t="s">
        <v>35</v>
      </c>
      <c r="D160" s="14" t="s">
        <v>12</v>
      </c>
      <c r="E160" s="3"/>
      <c r="F160" s="3"/>
      <c r="G160" s="41"/>
      <c r="H160" s="83" t="s">
        <v>82</v>
      </c>
      <c r="I160" s="80">
        <f>SUM(I157:I159)</f>
        <v>2951.03</v>
      </c>
      <c r="J160" s="3"/>
      <c r="K160" s="3"/>
      <c r="L160" s="6"/>
      <c r="M160" s="3"/>
      <c r="N160" s="3"/>
    </row>
    <row r="161">
      <c r="A161" s="39">
        <v>46001.0</v>
      </c>
      <c r="B161" s="23">
        <v>-554.85</v>
      </c>
      <c r="C161" s="26" t="s">
        <v>37</v>
      </c>
      <c r="D161" s="14" t="s">
        <v>12</v>
      </c>
      <c r="E161" s="3"/>
      <c r="F161" s="3"/>
      <c r="G161" s="41"/>
      <c r="H161" s="42"/>
      <c r="I161" s="80"/>
      <c r="J161" s="3"/>
      <c r="K161" s="3"/>
      <c r="L161" s="6"/>
      <c r="M161" s="3"/>
      <c r="N161" s="3"/>
    </row>
    <row r="162">
      <c r="A162" s="39">
        <v>46006.0</v>
      </c>
      <c r="B162" s="13">
        <v>2954.0</v>
      </c>
      <c r="C162" s="7" t="s">
        <v>10</v>
      </c>
      <c r="D162" s="14" t="s">
        <v>7</v>
      </c>
      <c r="E162" s="3"/>
      <c r="F162" s="3"/>
      <c r="G162" s="41"/>
      <c r="H162" s="42"/>
      <c r="I162" s="80"/>
      <c r="J162" s="3"/>
      <c r="K162" s="3"/>
      <c r="L162" s="6"/>
      <c r="M162" s="3"/>
      <c r="N162" s="3"/>
    </row>
    <row r="163">
      <c r="A163" s="39">
        <v>46006.0</v>
      </c>
      <c r="B163" s="23">
        <v>-550.0</v>
      </c>
      <c r="C163" s="26" t="s">
        <v>43</v>
      </c>
      <c r="D163" s="14" t="s">
        <v>12</v>
      </c>
      <c r="E163" s="3"/>
      <c r="F163" s="3"/>
      <c r="G163" s="41"/>
      <c r="H163" s="42"/>
      <c r="I163" s="80"/>
      <c r="J163" s="3"/>
      <c r="K163" s="3"/>
      <c r="L163" s="6"/>
      <c r="M163" s="3"/>
      <c r="N163" s="3"/>
    </row>
    <row r="164">
      <c r="A164" s="39">
        <v>46006.0</v>
      </c>
      <c r="B164" s="23">
        <v>-350.0</v>
      </c>
      <c r="C164" s="26" t="s">
        <v>15</v>
      </c>
      <c r="D164" s="14" t="s">
        <v>12</v>
      </c>
      <c r="E164" s="3"/>
      <c r="F164" s="3"/>
      <c r="G164" s="41"/>
      <c r="H164" s="42"/>
      <c r="I164" s="80"/>
      <c r="J164" s="3"/>
      <c r="K164" s="3"/>
      <c r="L164" s="6"/>
      <c r="M164" s="3"/>
      <c r="N164" s="3"/>
    </row>
    <row r="165">
      <c r="A165" s="39">
        <v>46006.0</v>
      </c>
      <c r="B165" s="23">
        <v>-750.0</v>
      </c>
      <c r="C165" s="26" t="s">
        <v>17</v>
      </c>
      <c r="D165" s="14" t="s">
        <v>12</v>
      </c>
      <c r="E165" s="3"/>
      <c r="F165" s="3"/>
      <c r="G165" s="41"/>
      <c r="H165" s="42"/>
      <c r="I165" s="80"/>
      <c r="J165" s="3"/>
      <c r="K165" s="3"/>
      <c r="L165" s="6"/>
      <c r="M165" s="3"/>
      <c r="N165" s="3"/>
    </row>
    <row r="166">
      <c r="A166" s="39">
        <v>46006.0</v>
      </c>
      <c r="B166" s="23">
        <v>-256.13</v>
      </c>
      <c r="C166" s="26" t="s">
        <v>56</v>
      </c>
      <c r="D166" s="14" t="s">
        <v>12</v>
      </c>
      <c r="E166" s="3"/>
      <c r="F166" s="3"/>
      <c r="G166" s="41"/>
      <c r="H166" s="42"/>
      <c r="I166" s="80"/>
      <c r="J166" s="3"/>
      <c r="K166" s="3"/>
      <c r="L166" s="6"/>
      <c r="M166" s="3"/>
      <c r="N166" s="3"/>
    </row>
    <row r="167">
      <c r="A167" s="39">
        <v>46006.0</v>
      </c>
      <c r="B167" s="23">
        <v>-255.0</v>
      </c>
      <c r="C167" s="27" t="s">
        <v>73</v>
      </c>
      <c r="D167" s="14" t="s">
        <v>12</v>
      </c>
      <c r="E167" s="3"/>
      <c r="F167" s="3"/>
      <c r="G167" s="41"/>
      <c r="H167" s="42"/>
      <c r="I167" s="80"/>
      <c r="J167" s="3"/>
      <c r="K167" s="3"/>
      <c r="L167" s="6"/>
      <c r="M167" s="3"/>
      <c r="N167" s="3"/>
    </row>
    <row r="168">
      <c r="A168" s="39">
        <v>46007.0</v>
      </c>
      <c r="B168" s="23">
        <v>-3100.0</v>
      </c>
      <c r="C168" s="26" t="s">
        <v>26</v>
      </c>
      <c r="D168" s="14" t="s">
        <v>12</v>
      </c>
      <c r="E168" s="3"/>
      <c r="F168" s="3"/>
      <c r="G168" s="41"/>
      <c r="H168" s="42"/>
      <c r="I168" s="80"/>
      <c r="J168" s="3"/>
      <c r="K168" s="3"/>
      <c r="L168" s="6"/>
      <c r="M168" s="3"/>
      <c r="N168" s="3"/>
    </row>
    <row r="169">
      <c r="A169" s="39">
        <v>46008.0</v>
      </c>
      <c r="B169" s="23">
        <v>-1000.0</v>
      </c>
      <c r="C169" s="7" t="s">
        <v>42</v>
      </c>
      <c r="D169" s="14" t="s">
        <v>12</v>
      </c>
      <c r="E169" s="3"/>
      <c r="F169" s="3"/>
      <c r="G169" s="41"/>
      <c r="H169" s="42"/>
      <c r="I169" s="80"/>
      <c r="J169" s="3"/>
      <c r="K169" s="3"/>
      <c r="L169" s="6"/>
      <c r="M169" s="3"/>
      <c r="N169" s="3"/>
    </row>
    <row r="170">
      <c r="A170" s="3"/>
      <c r="B170" s="43">
        <v>24526.34</v>
      </c>
      <c r="C170" s="44" t="s">
        <v>77</v>
      </c>
      <c r="D170" s="31"/>
      <c r="E170" s="3"/>
      <c r="F170" s="3"/>
      <c r="G170" s="41"/>
      <c r="H170" s="42"/>
      <c r="I170" s="80"/>
      <c r="J170" s="3"/>
      <c r="K170" s="3"/>
      <c r="L170" s="6"/>
      <c r="M170" s="3"/>
      <c r="N170" s="3"/>
    </row>
    <row r="171">
      <c r="A171" s="3"/>
      <c r="B171" s="80"/>
      <c r="C171" s="84"/>
      <c r="D171" s="31"/>
      <c r="E171" s="3"/>
      <c r="F171" s="3"/>
      <c r="G171" s="41"/>
      <c r="H171" s="42"/>
      <c r="I171" s="80"/>
      <c r="J171" s="3"/>
      <c r="K171" s="3"/>
      <c r="L171" s="6"/>
      <c r="M171" s="3"/>
      <c r="N171" s="3"/>
    </row>
    <row r="172">
      <c r="A172" s="3"/>
      <c r="B172" s="80"/>
      <c r="C172" s="84"/>
      <c r="D172" s="31"/>
      <c r="E172" s="3"/>
      <c r="F172" s="3"/>
      <c r="G172" s="41"/>
      <c r="H172" s="42"/>
      <c r="I172" s="80"/>
      <c r="J172" s="3"/>
      <c r="K172" s="3"/>
      <c r="L172" s="6"/>
      <c r="M172" s="3"/>
      <c r="N172" s="3"/>
    </row>
    <row r="173">
      <c r="A173" s="3"/>
      <c r="B173" s="80"/>
      <c r="C173" s="84"/>
      <c r="D173" s="31"/>
      <c r="E173" s="3"/>
      <c r="F173" s="3"/>
      <c r="G173" s="41"/>
      <c r="H173" s="42"/>
      <c r="I173" s="80"/>
      <c r="J173" s="3"/>
      <c r="K173" s="3"/>
      <c r="L173" s="6"/>
      <c r="M173" s="3"/>
      <c r="N173" s="3"/>
    </row>
    <row r="174">
      <c r="A174" s="3"/>
      <c r="B174" s="80"/>
      <c r="C174" s="84"/>
      <c r="D174" s="31"/>
      <c r="E174" s="3"/>
      <c r="F174" s="3"/>
      <c r="G174" s="41"/>
      <c r="H174" s="42"/>
      <c r="I174" s="80"/>
      <c r="J174" s="3"/>
      <c r="K174" s="3"/>
      <c r="L174" s="6"/>
      <c r="M174" s="3"/>
      <c r="N174" s="3"/>
    </row>
    <row r="175">
      <c r="A175" s="3"/>
      <c r="B175" s="80"/>
      <c r="C175" s="84"/>
      <c r="D175" s="31"/>
      <c r="E175" s="3"/>
      <c r="F175" s="3"/>
      <c r="G175" s="41"/>
      <c r="H175" s="42"/>
      <c r="I175" s="80"/>
      <c r="J175" s="3"/>
      <c r="K175" s="3"/>
      <c r="L175" s="6"/>
      <c r="M175" s="3"/>
      <c r="N175" s="3"/>
    </row>
    <row r="176">
      <c r="A176" s="3"/>
      <c r="B176" s="80"/>
      <c r="C176" s="84"/>
      <c r="D176" s="31"/>
      <c r="E176" s="3"/>
      <c r="F176" s="3"/>
      <c r="G176" s="41"/>
      <c r="H176" s="42"/>
      <c r="I176" s="80"/>
      <c r="J176" s="3"/>
      <c r="K176" s="3"/>
      <c r="L176" s="6"/>
      <c r="M176" s="3"/>
      <c r="N176" s="3"/>
    </row>
    <row r="177">
      <c r="A177" s="3"/>
      <c r="B177" s="80"/>
      <c r="C177" s="84"/>
      <c r="D177" s="31"/>
      <c r="E177" s="3"/>
      <c r="F177" s="3"/>
      <c r="G177" s="41"/>
      <c r="H177" s="42"/>
      <c r="I177" s="80"/>
      <c r="J177" s="3"/>
      <c r="K177" s="3"/>
      <c r="L177" s="6"/>
      <c r="M177" s="3"/>
      <c r="N177" s="3"/>
    </row>
    <row r="178">
      <c r="A178" s="3"/>
      <c r="B178" s="80"/>
      <c r="C178" s="84"/>
      <c r="D178" s="31"/>
      <c r="E178" s="3"/>
      <c r="F178" s="3"/>
      <c r="G178" s="41"/>
      <c r="H178" s="42"/>
      <c r="I178" s="80"/>
      <c r="J178" s="3"/>
      <c r="K178" s="3"/>
      <c r="L178" s="6"/>
      <c r="M178" s="3"/>
      <c r="N178" s="3"/>
    </row>
    <row r="179">
      <c r="A179" s="3"/>
      <c r="B179" s="80"/>
      <c r="C179" s="84"/>
      <c r="D179" s="31"/>
      <c r="E179" s="3"/>
      <c r="F179" s="3"/>
      <c r="G179" s="41"/>
      <c r="H179" s="42"/>
      <c r="I179" s="80"/>
      <c r="J179" s="3"/>
      <c r="K179" s="3"/>
      <c r="L179" s="6"/>
      <c r="M179" s="3"/>
      <c r="N179" s="3"/>
    </row>
    <row r="180">
      <c r="A180" s="3"/>
      <c r="B180" s="80"/>
      <c r="C180" s="84"/>
      <c r="D180" s="31"/>
      <c r="E180" s="3"/>
      <c r="F180" s="3"/>
      <c r="G180" s="41"/>
      <c r="H180" s="42"/>
      <c r="I180" s="80"/>
      <c r="J180" s="3"/>
      <c r="K180" s="3"/>
      <c r="L180" s="6"/>
      <c r="M180" s="3"/>
      <c r="N180" s="3"/>
    </row>
    <row r="181">
      <c r="A181" s="3"/>
      <c r="B181" s="80"/>
      <c r="C181" s="84"/>
      <c r="D181" s="31"/>
      <c r="E181" s="3"/>
      <c r="F181" s="3"/>
      <c r="G181" s="41"/>
      <c r="H181" s="42"/>
      <c r="I181" s="80"/>
      <c r="J181" s="3"/>
      <c r="K181" s="3"/>
      <c r="L181" s="6"/>
      <c r="M181" s="3"/>
      <c r="N181" s="3"/>
    </row>
    <row r="182">
      <c r="A182" s="3"/>
      <c r="B182" s="80"/>
      <c r="C182" s="84"/>
      <c r="D182" s="31"/>
      <c r="E182" s="3"/>
      <c r="F182" s="3"/>
      <c r="G182" s="41"/>
      <c r="H182" s="42"/>
      <c r="I182" s="80"/>
      <c r="J182" s="3"/>
      <c r="K182" s="3"/>
      <c r="L182" s="6"/>
      <c r="M182" s="3"/>
      <c r="N182" s="3"/>
    </row>
    <row r="183">
      <c r="A183" s="3"/>
      <c r="B183" s="80"/>
      <c r="C183" s="84"/>
      <c r="D183" s="31"/>
      <c r="E183" s="3"/>
      <c r="F183" s="3"/>
      <c r="G183" s="41"/>
      <c r="H183" s="42"/>
      <c r="I183" s="80"/>
      <c r="J183" s="3"/>
      <c r="K183" s="3"/>
      <c r="L183" s="6"/>
      <c r="M183" s="3"/>
      <c r="N183" s="3"/>
    </row>
    <row r="184">
      <c r="A184" s="3"/>
      <c r="B184" s="80"/>
      <c r="C184" s="84"/>
      <c r="D184" s="31"/>
      <c r="E184" s="3"/>
      <c r="F184" s="3"/>
      <c r="G184" s="41"/>
      <c r="H184" s="42"/>
      <c r="I184" s="80"/>
      <c r="J184" s="3"/>
      <c r="K184" s="3"/>
      <c r="L184" s="6"/>
      <c r="M184" s="3"/>
      <c r="N184" s="3"/>
    </row>
    <row r="185">
      <c r="A185" s="3"/>
      <c r="B185" s="85"/>
      <c r="C185" s="86"/>
      <c r="D185" s="31"/>
      <c r="E185" s="3"/>
      <c r="F185" s="3"/>
      <c r="G185" s="41"/>
      <c r="H185" s="42"/>
      <c r="I185" s="80"/>
      <c r="J185" s="3"/>
      <c r="K185" s="3"/>
      <c r="L185" s="6"/>
      <c r="M185" s="3"/>
      <c r="N185" s="3"/>
    </row>
    <row r="186">
      <c r="B186" s="87"/>
      <c r="G186" s="81"/>
      <c r="H186" s="82"/>
      <c r="I186" s="87"/>
    </row>
    <row r="187">
      <c r="B187" s="87"/>
      <c r="G187" s="81"/>
      <c r="H187" s="82"/>
      <c r="I187" s="87"/>
    </row>
    <row r="188">
      <c r="B188" s="87"/>
      <c r="G188" s="81"/>
      <c r="H188" s="82"/>
      <c r="I188" s="87"/>
    </row>
    <row r="189">
      <c r="B189" s="87"/>
      <c r="G189" s="81"/>
      <c r="H189" s="82"/>
      <c r="I189" s="87"/>
    </row>
    <row r="190">
      <c r="B190" s="87"/>
      <c r="G190" s="81"/>
      <c r="H190" s="82"/>
      <c r="I190" s="87"/>
    </row>
    <row r="191">
      <c r="B191" s="87"/>
      <c r="G191" s="81"/>
      <c r="H191" s="82"/>
      <c r="I191" s="87"/>
    </row>
    <row r="192">
      <c r="B192" s="87"/>
      <c r="G192" s="81"/>
      <c r="H192" s="82"/>
      <c r="I192" s="87"/>
    </row>
    <row r="193">
      <c r="B193" s="87"/>
      <c r="G193" s="81"/>
      <c r="H193" s="82"/>
      <c r="I193" s="87"/>
    </row>
    <row r="194">
      <c r="B194" s="87"/>
      <c r="G194" s="81"/>
      <c r="H194" s="82"/>
      <c r="I194" s="87"/>
    </row>
    <row r="195">
      <c r="B195" s="87"/>
      <c r="G195" s="81"/>
      <c r="H195" s="82"/>
      <c r="I195" s="87"/>
    </row>
    <row r="196">
      <c r="B196" s="87"/>
      <c r="G196" s="81"/>
      <c r="H196" s="82"/>
      <c r="I196" s="87"/>
    </row>
    <row r="197">
      <c r="B197" s="87"/>
      <c r="G197" s="81"/>
      <c r="H197" s="82"/>
      <c r="I197" s="87"/>
    </row>
    <row r="198">
      <c r="B198" s="87"/>
      <c r="G198" s="81"/>
      <c r="H198" s="82"/>
      <c r="I198" s="87"/>
    </row>
    <row r="199">
      <c r="B199" s="87"/>
      <c r="G199" s="81"/>
      <c r="H199" s="82"/>
      <c r="I199" s="87"/>
    </row>
    <row r="200">
      <c r="B200" s="87"/>
      <c r="G200" s="81"/>
      <c r="H200" s="82"/>
      <c r="I200" s="87"/>
    </row>
    <row r="201">
      <c r="B201" s="87"/>
      <c r="G201" s="81"/>
      <c r="H201" s="82"/>
      <c r="I201" s="87"/>
    </row>
    <row r="202">
      <c r="B202" s="87"/>
      <c r="G202" s="81"/>
      <c r="H202" s="82"/>
      <c r="I202" s="87"/>
    </row>
    <row r="203">
      <c r="B203" s="87"/>
      <c r="G203" s="81"/>
      <c r="H203" s="82"/>
      <c r="I203" s="87"/>
    </row>
    <row r="204">
      <c r="B204" s="87"/>
      <c r="G204" s="81"/>
      <c r="H204" s="82"/>
      <c r="I204" s="87"/>
    </row>
    <row r="205">
      <c r="B205" s="87"/>
      <c r="G205" s="81"/>
      <c r="H205" s="82"/>
      <c r="I205" s="87"/>
    </row>
    <row r="206">
      <c r="B206" s="87"/>
      <c r="G206" s="81"/>
      <c r="H206" s="82"/>
      <c r="I206" s="87"/>
    </row>
    <row r="207">
      <c r="B207" s="87"/>
      <c r="G207" s="81"/>
      <c r="H207" s="82"/>
      <c r="I207" s="87"/>
    </row>
    <row r="208">
      <c r="B208" s="87"/>
      <c r="G208" s="81"/>
      <c r="H208" s="82"/>
      <c r="I208" s="87"/>
    </row>
    <row r="209">
      <c r="B209" s="87"/>
      <c r="G209" s="81"/>
      <c r="H209" s="82"/>
      <c r="I209" s="87"/>
    </row>
    <row r="210">
      <c r="B210" s="87"/>
      <c r="G210" s="81"/>
      <c r="H210" s="82"/>
      <c r="I210" s="87"/>
    </row>
    <row r="211">
      <c r="B211" s="87"/>
      <c r="G211" s="81"/>
      <c r="H211" s="82"/>
      <c r="I211" s="87"/>
    </row>
    <row r="212">
      <c r="B212" s="87"/>
      <c r="G212" s="81"/>
      <c r="H212" s="82"/>
      <c r="I212" s="87"/>
    </row>
    <row r="213">
      <c r="B213" s="87"/>
      <c r="G213" s="81"/>
      <c r="H213" s="82"/>
      <c r="I213" s="87"/>
    </row>
    <row r="214">
      <c r="B214" s="87"/>
      <c r="G214" s="81"/>
      <c r="H214" s="82"/>
      <c r="I214" s="87"/>
    </row>
    <row r="215">
      <c r="B215" s="87"/>
      <c r="G215" s="81"/>
      <c r="H215" s="82"/>
      <c r="I215" s="87"/>
    </row>
    <row r="216">
      <c r="B216" s="87"/>
      <c r="G216" s="81"/>
      <c r="H216" s="82"/>
      <c r="I216" s="87"/>
    </row>
    <row r="217">
      <c r="B217" s="87"/>
      <c r="G217" s="81"/>
      <c r="H217" s="82"/>
      <c r="I217" s="87"/>
    </row>
    <row r="218">
      <c r="B218" s="87"/>
      <c r="G218" s="81"/>
      <c r="H218" s="82"/>
      <c r="I218" s="87"/>
    </row>
    <row r="219">
      <c r="B219" s="87"/>
      <c r="G219" s="81"/>
      <c r="H219" s="82"/>
      <c r="I219" s="87"/>
    </row>
    <row r="220">
      <c r="B220" s="87"/>
      <c r="G220" s="81"/>
      <c r="H220" s="82"/>
      <c r="I220" s="87"/>
    </row>
    <row r="221">
      <c r="B221" s="87"/>
      <c r="G221" s="81"/>
      <c r="H221" s="82"/>
      <c r="I221" s="87"/>
    </row>
    <row r="222">
      <c r="B222" s="87"/>
      <c r="G222" s="81"/>
      <c r="H222" s="82"/>
      <c r="I222" s="87"/>
    </row>
    <row r="223">
      <c r="B223" s="87"/>
      <c r="G223" s="81"/>
      <c r="H223" s="82"/>
      <c r="I223" s="87"/>
    </row>
    <row r="224">
      <c r="B224" s="87"/>
      <c r="G224" s="81"/>
      <c r="H224" s="82"/>
      <c r="I224" s="87"/>
    </row>
    <row r="225">
      <c r="B225" s="87"/>
      <c r="G225" s="81"/>
      <c r="H225" s="82"/>
      <c r="I225" s="87"/>
    </row>
    <row r="226">
      <c r="B226" s="87"/>
      <c r="G226" s="81"/>
      <c r="H226" s="82"/>
      <c r="I226" s="87"/>
    </row>
    <row r="227">
      <c r="B227" s="87"/>
      <c r="G227" s="81"/>
      <c r="H227" s="82"/>
      <c r="I227" s="87"/>
    </row>
    <row r="228">
      <c r="B228" s="87"/>
      <c r="G228" s="81"/>
      <c r="H228" s="82"/>
      <c r="I228" s="87"/>
    </row>
    <row r="229">
      <c r="B229" s="87"/>
      <c r="G229" s="81"/>
      <c r="H229" s="82"/>
      <c r="I229" s="87"/>
    </row>
    <row r="230">
      <c r="B230" s="87"/>
      <c r="G230" s="81"/>
      <c r="H230" s="82"/>
      <c r="I230" s="87"/>
    </row>
    <row r="231">
      <c r="B231" s="87"/>
      <c r="G231" s="81"/>
      <c r="H231" s="82"/>
      <c r="I231" s="87"/>
    </row>
    <row r="232">
      <c r="B232" s="87"/>
      <c r="G232" s="81"/>
      <c r="H232" s="82"/>
      <c r="I232" s="87"/>
    </row>
    <row r="233">
      <c r="B233" s="87"/>
      <c r="G233" s="81"/>
      <c r="H233" s="82"/>
      <c r="I233" s="87"/>
    </row>
    <row r="234">
      <c r="B234" s="87"/>
      <c r="G234" s="81"/>
      <c r="H234" s="82"/>
      <c r="I234" s="87"/>
    </row>
    <row r="235">
      <c r="B235" s="87"/>
      <c r="G235" s="81"/>
      <c r="H235" s="82"/>
      <c r="I235" s="87"/>
    </row>
    <row r="236">
      <c r="B236" s="87"/>
      <c r="G236" s="81"/>
      <c r="H236" s="82"/>
      <c r="I236" s="87"/>
    </row>
    <row r="237">
      <c r="B237" s="87"/>
      <c r="G237" s="81"/>
      <c r="H237" s="82"/>
      <c r="I237" s="87"/>
    </row>
    <row r="238">
      <c r="B238" s="87"/>
      <c r="G238" s="81"/>
      <c r="H238" s="82"/>
      <c r="I238" s="87"/>
    </row>
    <row r="239">
      <c r="B239" s="87"/>
      <c r="G239" s="81"/>
      <c r="H239" s="82"/>
      <c r="I239" s="87"/>
    </row>
    <row r="240">
      <c r="B240" s="87"/>
      <c r="G240" s="81"/>
      <c r="H240" s="82"/>
      <c r="I240" s="87"/>
    </row>
    <row r="241">
      <c r="B241" s="87"/>
      <c r="G241" s="81"/>
      <c r="H241" s="82"/>
      <c r="I241" s="87"/>
    </row>
    <row r="242">
      <c r="B242" s="87"/>
      <c r="G242" s="81"/>
      <c r="H242" s="82"/>
      <c r="I242" s="87"/>
    </row>
    <row r="243">
      <c r="B243" s="87"/>
      <c r="G243" s="81"/>
      <c r="H243" s="82"/>
      <c r="I243" s="87"/>
    </row>
    <row r="244">
      <c r="B244" s="87"/>
      <c r="G244" s="81"/>
      <c r="H244" s="82"/>
      <c r="I244" s="87"/>
    </row>
    <row r="245">
      <c r="B245" s="87"/>
      <c r="G245" s="81"/>
      <c r="H245" s="82"/>
      <c r="I245" s="87"/>
    </row>
    <row r="246">
      <c r="B246" s="87"/>
      <c r="G246" s="81"/>
      <c r="H246" s="82"/>
      <c r="I246" s="87"/>
    </row>
    <row r="247">
      <c r="B247" s="87"/>
      <c r="G247" s="81"/>
      <c r="H247" s="82"/>
      <c r="I247" s="87"/>
    </row>
    <row r="248">
      <c r="B248" s="87"/>
      <c r="G248" s="81"/>
      <c r="H248" s="82"/>
      <c r="I248" s="87"/>
    </row>
    <row r="249">
      <c r="B249" s="87"/>
      <c r="G249" s="81"/>
      <c r="H249" s="82"/>
      <c r="I249" s="87"/>
    </row>
    <row r="250">
      <c r="B250" s="87"/>
      <c r="G250" s="81"/>
      <c r="H250" s="82"/>
      <c r="I250" s="87"/>
    </row>
    <row r="251">
      <c r="B251" s="87"/>
      <c r="G251" s="81"/>
      <c r="H251" s="82"/>
      <c r="I251" s="87"/>
    </row>
    <row r="252">
      <c r="B252" s="87"/>
      <c r="G252" s="81"/>
      <c r="H252" s="82"/>
      <c r="I252" s="87"/>
    </row>
    <row r="253">
      <c r="B253" s="87"/>
      <c r="G253" s="81"/>
      <c r="H253" s="82"/>
      <c r="I253" s="87"/>
    </row>
    <row r="254">
      <c r="B254" s="87"/>
      <c r="G254" s="81"/>
      <c r="H254" s="82"/>
      <c r="I254" s="87"/>
    </row>
    <row r="255">
      <c r="B255" s="87"/>
      <c r="G255" s="81"/>
      <c r="H255" s="82"/>
      <c r="I255" s="87"/>
    </row>
    <row r="256">
      <c r="B256" s="87"/>
      <c r="G256" s="81"/>
      <c r="H256" s="82"/>
      <c r="I256" s="87"/>
    </row>
    <row r="257">
      <c r="B257" s="87"/>
      <c r="G257" s="81"/>
      <c r="H257" s="82"/>
      <c r="I257" s="87"/>
    </row>
    <row r="258">
      <c r="B258" s="87"/>
      <c r="G258" s="81"/>
      <c r="H258" s="82"/>
      <c r="I258" s="87"/>
    </row>
    <row r="259">
      <c r="B259" s="87"/>
      <c r="G259" s="81"/>
      <c r="H259" s="82"/>
      <c r="I259" s="87"/>
    </row>
    <row r="260">
      <c r="B260" s="87"/>
      <c r="G260" s="81"/>
      <c r="H260" s="82"/>
      <c r="I260" s="87"/>
    </row>
    <row r="261">
      <c r="B261" s="87"/>
      <c r="G261" s="81"/>
      <c r="H261" s="82"/>
      <c r="I261" s="87"/>
    </row>
    <row r="262">
      <c r="B262" s="87"/>
      <c r="G262" s="81"/>
      <c r="H262" s="82"/>
      <c r="I262" s="87"/>
    </row>
    <row r="263">
      <c r="B263" s="87"/>
      <c r="G263" s="81"/>
      <c r="H263" s="82"/>
      <c r="I263" s="87"/>
    </row>
    <row r="264">
      <c r="B264" s="87"/>
      <c r="G264" s="81"/>
      <c r="H264" s="82"/>
      <c r="I264" s="87"/>
    </row>
    <row r="265">
      <c r="B265" s="87"/>
      <c r="G265" s="81"/>
      <c r="H265" s="82"/>
      <c r="I265" s="87"/>
    </row>
    <row r="266">
      <c r="B266" s="87"/>
      <c r="G266" s="81"/>
      <c r="H266" s="82"/>
      <c r="I266" s="87"/>
    </row>
    <row r="267">
      <c r="B267" s="87"/>
      <c r="G267" s="81"/>
      <c r="H267" s="82"/>
      <c r="I267" s="87"/>
    </row>
    <row r="268">
      <c r="B268" s="87"/>
      <c r="G268" s="81"/>
      <c r="H268" s="82"/>
      <c r="I268" s="87"/>
    </row>
    <row r="269">
      <c r="B269" s="87"/>
      <c r="G269" s="81"/>
      <c r="H269" s="82"/>
      <c r="I269" s="87"/>
    </row>
    <row r="270">
      <c r="B270" s="87"/>
      <c r="G270" s="81"/>
      <c r="H270" s="82"/>
      <c r="I270" s="87"/>
    </row>
    <row r="271">
      <c r="B271" s="87"/>
      <c r="G271" s="81"/>
      <c r="H271" s="82"/>
      <c r="I271" s="87"/>
    </row>
    <row r="272">
      <c r="B272" s="87"/>
      <c r="G272" s="81"/>
      <c r="H272" s="82"/>
      <c r="I272" s="87"/>
    </row>
    <row r="273">
      <c r="B273" s="87"/>
      <c r="G273" s="81"/>
      <c r="H273" s="82"/>
      <c r="I273" s="87"/>
    </row>
    <row r="274">
      <c r="B274" s="87"/>
      <c r="G274" s="81"/>
      <c r="H274" s="82"/>
      <c r="I274" s="87"/>
    </row>
    <row r="275">
      <c r="B275" s="87"/>
      <c r="G275" s="81"/>
      <c r="H275" s="82"/>
      <c r="I275" s="87"/>
    </row>
    <row r="276">
      <c r="B276" s="87"/>
      <c r="G276" s="81"/>
      <c r="H276" s="82"/>
      <c r="I276" s="87"/>
    </row>
    <row r="277">
      <c r="B277" s="87"/>
      <c r="G277" s="81"/>
      <c r="H277" s="82"/>
      <c r="I277" s="87"/>
    </row>
    <row r="278">
      <c r="B278" s="87"/>
      <c r="G278" s="81"/>
      <c r="H278" s="82"/>
      <c r="I278" s="87"/>
    </row>
    <row r="279">
      <c r="B279" s="87"/>
      <c r="G279" s="81"/>
      <c r="H279" s="82"/>
      <c r="I279" s="87"/>
    </row>
    <row r="280">
      <c r="B280" s="87"/>
      <c r="G280" s="81"/>
      <c r="H280" s="82"/>
      <c r="I280" s="87"/>
    </row>
    <row r="281">
      <c r="B281" s="87"/>
      <c r="G281" s="81"/>
      <c r="H281" s="82"/>
      <c r="I281" s="87"/>
    </row>
    <row r="282">
      <c r="B282" s="87"/>
      <c r="G282" s="81"/>
      <c r="H282" s="82"/>
      <c r="I282" s="87"/>
    </row>
    <row r="283">
      <c r="B283" s="87"/>
      <c r="G283" s="81"/>
      <c r="H283" s="82"/>
      <c r="I283" s="87"/>
    </row>
    <row r="284">
      <c r="B284" s="87"/>
      <c r="G284" s="81"/>
      <c r="H284" s="82"/>
      <c r="I284" s="87"/>
    </row>
    <row r="285">
      <c r="B285" s="87"/>
      <c r="G285" s="81"/>
      <c r="H285" s="82"/>
      <c r="I285" s="87"/>
    </row>
    <row r="286">
      <c r="B286" s="87"/>
      <c r="G286" s="81"/>
      <c r="H286" s="82"/>
      <c r="I286" s="87"/>
    </row>
    <row r="287">
      <c r="B287" s="87"/>
      <c r="G287" s="81"/>
      <c r="H287" s="82"/>
      <c r="I287" s="87"/>
    </row>
    <row r="288">
      <c r="B288" s="87"/>
      <c r="G288" s="81"/>
      <c r="H288" s="82"/>
      <c r="I288" s="87"/>
    </row>
    <row r="289">
      <c r="B289" s="87"/>
      <c r="G289" s="81"/>
      <c r="H289" s="82"/>
      <c r="I289" s="87"/>
    </row>
    <row r="290">
      <c r="B290" s="87"/>
      <c r="G290" s="81"/>
      <c r="H290" s="82"/>
      <c r="I290" s="87"/>
    </row>
    <row r="291">
      <c r="B291" s="87"/>
      <c r="G291" s="81"/>
      <c r="H291" s="82"/>
      <c r="I291" s="87"/>
    </row>
    <row r="292">
      <c r="B292" s="87"/>
      <c r="G292" s="81"/>
      <c r="H292" s="82"/>
      <c r="I292" s="87"/>
    </row>
    <row r="293">
      <c r="B293" s="87"/>
      <c r="G293" s="81"/>
      <c r="H293" s="82"/>
      <c r="I293" s="87"/>
    </row>
    <row r="294">
      <c r="B294" s="87"/>
      <c r="G294" s="81"/>
      <c r="H294" s="82"/>
      <c r="I294" s="87"/>
    </row>
    <row r="295">
      <c r="B295" s="87"/>
      <c r="G295" s="81"/>
      <c r="H295" s="82"/>
      <c r="I295" s="87"/>
    </row>
    <row r="296">
      <c r="B296" s="87"/>
      <c r="G296" s="81"/>
      <c r="H296" s="82"/>
      <c r="I296" s="87"/>
    </row>
    <row r="297">
      <c r="B297" s="87"/>
      <c r="G297" s="81"/>
      <c r="H297" s="82"/>
      <c r="I297" s="87"/>
    </row>
    <row r="298">
      <c r="B298" s="87"/>
      <c r="G298" s="81"/>
      <c r="H298" s="82"/>
      <c r="I298" s="87"/>
    </row>
    <row r="299">
      <c r="B299" s="87"/>
      <c r="G299" s="81"/>
      <c r="H299" s="82"/>
      <c r="I299" s="87"/>
    </row>
    <row r="300">
      <c r="B300" s="87"/>
      <c r="G300" s="81"/>
      <c r="H300" s="82"/>
      <c r="I300" s="87"/>
    </row>
    <row r="301">
      <c r="B301" s="87"/>
      <c r="G301" s="81"/>
      <c r="H301" s="82"/>
      <c r="I301" s="87"/>
    </row>
    <row r="302">
      <c r="B302" s="87"/>
      <c r="G302" s="81"/>
      <c r="H302" s="82"/>
      <c r="I302" s="87"/>
    </row>
    <row r="303">
      <c r="B303" s="87"/>
      <c r="G303" s="81"/>
      <c r="H303" s="82"/>
      <c r="I303" s="87"/>
    </row>
    <row r="304">
      <c r="B304" s="87"/>
      <c r="G304" s="81"/>
      <c r="H304" s="82"/>
      <c r="I304" s="87"/>
    </row>
    <row r="305">
      <c r="B305" s="87"/>
      <c r="G305" s="81"/>
      <c r="H305" s="82"/>
      <c r="I305" s="87"/>
    </row>
    <row r="306">
      <c r="B306" s="87"/>
      <c r="G306" s="81"/>
      <c r="H306" s="82"/>
      <c r="I306" s="87"/>
    </row>
    <row r="307">
      <c r="B307" s="87"/>
      <c r="G307" s="81"/>
      <c r="H307" s="82"/>
      <c r="I307" s="87"/>
    </row>
    <row r="308">
      <c r="B308" s="87"/>
      <c r="G308" s="81"/>
      <c r="H308" s="82"/>
      <c r="I308" s="87"/>
    </row>
    <row r="309">
      <c r="B309" s="87"/>
      <c r="G309" s="81"/>
      <c r="H309" s="82"/>
      <c r="I309" s="87"/>
    </row>
    <row r="310">
      <c r="B310" s="87"/>
      <c r="G310" s="81"/>
      <c r="H310" s="82"/>
      <c r="I310" s="87"/>
    </row>
    <row r="311">
      <c r="B311" s="87"/>
      <c r="G311" s="81"/>
      <c r="H311" s="82"/>
      <c r="I311" s="87"/>
    </row>
    <row r="312">
      <c r="B312" s="87"/>
      <c r="G312" s="81"/>
      <c r="H312" s="82"/>
      <c r="I312" s="87"/>
    </row>
    <row r="313">
      <c r="B313" s="87"/>
      <c r="G313" s="81"/>
      <c r="H313" s="82"/>
      <c r="I313" s="87"/>
    </row>
    <row r="314">
      <c r="B314" s="87"/>
      <c r="G314" s="81"/>
      <c r="H314" s="82"/>
      <c r="I314" s="87"/>
    </row>
    <row r="315">
      <c r="B315" s="87"/>
      <c r="G315" s="81"/>
      <c r="H315" s="82"/>
      <c r="I315" s="87"/>
    </row>
    <row r="316">
      <c r="B316" s="87"/>
      <c r="G316" s="81"/>
      <c r="H316" s="82"/>
      <c r="I316" s="87"/>
    </row>
    <row r="317">
      <c r="B317" s="87"/>
      <c r="G317" s="81"/>
      <c r="H317" s="82"/>
      <c r="I317" s="87"/>
    </row>
    <row r="318">
      <c r="B318" s="87"/>
      <c r="G318" s="81"/>
      <c r="H318" s="82"/>
      <c r="I318" s="87"/>
    </row>
    <row r="319">
      <c r="B319" s="87"/>
      <c r="G319" s="81"/>
      <c r="H319" s="82"/>
      <c r="I319" s="87"/>
    </row>
    <row r="320">
      <c r="B320" s="87"/>
      <c r="G320" s="81"/>
      <c r="H320" s="82"/>
      <c r="I320" s="87"/>
    </row>
    <row r="321">
      <c r="B321" s="87"/>
      <c r="G321" s="81"/>
      <c r="H321" s="82"/>
      <c r="I321" s="87"/>
    </row>
    <row r="322">
      <c r="B322" s="87"/>
      <c r="G322" s="81"/>
      <c r="H322" s="82"/>
      <c r="I322" s="87"/>
    </row>
    <row r="323">
      <c r="B323" s="87"/>
      <c r="G323" s="81"/>
      <c r="H323" s="82"/>
      <c r="I323" s="87"/>
    </row>
    <row r="324">
      <c r="B324" s="87"/>
      <c r="G324" s="81"/>
      <c r="H324" s="82"/>
      <c r="I324" s="87"/>
    </row>
    <row r="325">
      <c r="B325" s="87"/>
      <c r="G325" s="81"/>
      <c r="H325" s="82"/>
      <c r="I325" s="87"/>
    </row>
    <row r="326">
      <c r="B326" s="87"/>
      <c r="G326" s="81"/>
      <c r="H326" s="82"/>
      <c r="I326" s="87"/>
    </row>
    <row r="327">
      <c r="B327" s="87"/>
      <c r="G327" s="81"/>
      <c r="H327" s="82"/>
      <c r="I327" s="87"/>
    </row>
    <row r="328">
      <c r="B328" s="87"/>
      <c r="G328" s="81"/>
      <c r="H328" s="82"/>
      <c r="I328" s="87"/>
    </row>
    <row r="329">
      <c r="B329" s="87"/>
      <c r="G329" s="81"/>
      <c r="H329" s="82"/>
      <c r="I329" s="87"/>
    </row>
    <row r="330">
      <c r="B330" s="87"/>
      <c r="G330" s="81"/>
      <c r="H330" s="82"/>
      <c r="I330" s="87"/>
    </row>
    <row r="331">
      <c r="B331" s="87"/>
      <c r="G331" s="81"/>
      <c r="H331" s="82"/>
      <c r="I331" s="87"/>
    </row>
    <row r="332">
      <c r="B332" s="87"/>
      <c r="G332" s="81"/>
      <c r="H332" s="82"/>
      <c r="I332" s="87"/>
    </row>
    <row r="333">
      <c r="B333" s="87"/>
      <c r="G333" s="81"/>
      <c r="H333" s="82"/>
      <c r="I333" s="87"/>
    </row>
    <row r="334">
      <c r="B334" s="87"/>
      <c r="G334" s="81"/>
      <c r="H334" s="82"/>
      <c r="I334" s="87"/>
    </row>
    <row r="335">
      <c r="B335" s="87"/>
      <c r="G335" s="81"/>
      <c r="H335" s="82"/>
      <c r="I335" s="87"/>
    </row>
    <row r="336">
      <c r="B336" s="87"/>
      <c r="G336" s="81"/>
      <c r="H336" s="82"/>
      <c r="I336" s="87"/>
    </row>
    <row r="337">
      <c r="B337" s="87"/>
      <c r="G337" s="81"/>
      <c r="H337" s="82"/>
      <c r="I337" s="87"/>
    </row>
    <row r="338">
      <c r="B338" s="87"/>
      <c r="G338" s="81"/>
      <c r="H338" s="82"/>
      <c r="I338" s="87"/>
    </row>
    <row r="339">
      <c r="B339" s="87"/>
      <c r="G339" s="81"/>
      <c r="H339" s="82"/>
      <c r="I339" s="87"/>
    </row>
    <row r="340">
      <c r="B340" s="87"/>
      <c r="G340" s="81"/>
      <c r="H340" s="82"/>
      <c r="I340" s="87"/>
    </row>
    <row r="341">
      <c r="B341" s="87"/>
      <c r="G341" s="81"/>
      <c r="H341" s="82"/>
      <c r="I341" s="87"/>
    </row>
    <row r="342">
      <c r="B342" s="87"/>
      <c r="G342" s="81"/>
      <c r="H342" s="82"/>
      <c r="I342" s="87"/>
    </row>
    <row r="343">
      <c r="B343" s="87"/>
      <c r="G343" s="81"/>
      <c r="H343" s="82"/>
      <c r="I343" s="87"/>
    </row>
    <row r="344">
      <c r="B344" s="87"/>
      <c r="G344" s="81"/>
      <c r="H344" s="82"/>
      <c r="I344" s="87"/>
    </row>
    <row r="345">
      <c r="B345" s="87"/>
      <c r="G345" s="81"/>
      <c r="H345" s="82"/>
      <c r="I345" s="87"/>
    </row>
    <row r="346">
      <c r="B346" s="87"/>
      <c r="G346" s="81"/>
      <c r="H346" s="82"/>
      <c r="I346" s="87"/>
    </row>
    <row r="347">
      <c r="B347" s="87"/>
      <c r="G347" s="81"/>
      <c r="H347" s="82"/>
      <c r="I347" s="87"/>
    </row>
    <row r="348">
      <c r="B348" s="87"/>
      <c r="G348" s="81"/>
      <c r="H348" s="82"/>
      <c r="I348" s="87"/>
    </row>
    <row r="349">
      <c r="B349" s="87"/>
      <c r="G349" s="81"/>
      <c r="H349" s="82"/>
      <c r="I349" s="87"/>
    </row>
    <row r="350">
      <c r="B350" s="87"/>
      <c r="G350" s="81"/>
      <c r="H350" s="82"/>
      <c r="I350" s="87"/>
    </row>
    <row r="351">
      <c r="B351" s="87"/>
      <c r="G351" s="81"/>
      <c r="H351" s="82"/>
      <c r="I351" s="87"/>
    </row>
    <row r="352">
      <c r="B352" s="87"/>
      <c r="G352" s="81"/>
      <c r="H352" s="82"/>
      <c r="I352" s="87"/>
    </row>
    <row r="353">
      <c r="B353" s="87"/>
      <c r="G353" s="81"/>
      <c r="H353" s="82"/>
      <c r="I353" s="87"/>
    </row>
    <row r="354">
      <c r="B354" s="87"/>
      <c r="G354" s="81"/>
      <c r="H354" s="82"/>
      <c r="I354" s="87"/>
    </row>
    <row r="355">
      <c r="B355" s="87"/>
      <c r="G355" s="81"/>
      <c r="H355" s="82"/>
      <c r="I355" s="87"/>
    </row>
    <row r="356">
      <c r="B356" s="87"/>
      <c r="G356" s="81"/>
      <c r="H356" s="82"/>
      <c r="I356" s="87"/>
    </row>
    <row r="357">
      <c r="B357" s="87"/>
      <c r="G357" s="81"/>
      <c r="H357" s="82"/>
      <c r="I357" s="87"/>
    </row>
    <row r="358">
      <c r="B358" s="87"/>
      <c r="G358" s="81"/>
      <c r="H358" s="82"/>
      <c r="I358" s="87"/>
    </row>
    <row r="359">
      <c r="B359" s="87"/>
      <c r="G359" s="81"/>
      <c r="H359" s="82"/>
      <c r="I359" s="87"/>
    </row>
    <row r="360">
      <c r="B360" s="87"/>
      <c r="G360" s="81"/>
      <c r="H360" s="82"/>
      <c r="I360" s="87"/>
    </row>
    <row r="361">
      <c r="B361" s="87"/>
      <c r="G361" s="81"/>
      <c r="H361" s="82"/>
      <c r="I361" s="87"/>
    </row>
    <row r="362">
      <c r="B362" s="87"/>
      <c r="G362" s="81"/>
      <c r="H362" s="82"/>
      <c r="I362" s="87"/>
    </row>
    <row r="363">
      <c r="B363" s="87"/>
      <c r="G363" s="81"/>
      <c r="H363" s="82"/>
      <c r="I363" s="87"/>
    </row>
    <row r="364">
      <c r="B364" s="87"/>
      <c r="G364" s="81"/>
      <c r="H364" s="82"/>
      <c r="I364" s="87"/>
    </row>
    <row r="365">
      <c r="B365" s="87"/>
      <c r="G365" s="81"/>
      <c r="H365" s="82"/>
      <c r="I365" s="87"/>
    </row>
    <row r="366">
      <c r="B366" s="87"/>
      <c r="G366" s="81"/>
      <c r="H366" s="82"/>
      <c r="I366" s="87"/>
    </row>
    <row r="367">
      <c r="B367" s="87"/>
      <c r="G367" s="81"/>
      <c r="H367" s="82"/>
      <c r="I367" s="87"/>
    </row>
    <row r="368">
      <c r="B368" s="87"/>
      <c r="G368" s="81"/>
      <c r="H368" s="82"/>
      <c r="I368" s="87"/>
    </row>
    <row r="369">
      <c r="B369" s="87"/>
      <c r="G369" s="81"/>
      <c r="H369" s="82"/>
      <c r="I369" s="87"/>
    </row>
    <row r="370">
      <c r="B370" s="87"/>
      <c r="G370" s="81"/>
      <c r="H370" s="82"/>
      <c r="I370" s="87"/>
    </row>
    <row r="371">
      <c r="B371" s="87"/>
      <c r="G371" s="81"/>
      <c r="H371" s="82"/>
      <c r="I371" s="87"/>
    </row>
    <row r="372">
      <c r="B372" s="87"/>
      <c r="G372" s="81"/>
      <c r="H372" s="82"/>
      <c r="I372" s="87"/>
    </row>
    <row r="373">
      <c r="B373" s="87"/>
      <c r="G373" s="81"/>
      <c r="H373" s="82"/>
      <c r="I373" s="87"/>
    </row>
    <row r="374">
      <c r="B374" s="87"/>
      <c r="G374" s="81"/>
      <c r="H374" s="82"/>
      <c r="I374" s="87"/>
    </row>
    <row r="375">
      <c r="B375" s="87"/>
      <c r="G375" s="81"/>
      <c r="H375" s="82"/>
      <c r="I375" s="87"/>
    </row>
    <row r="376">
      <c r="B376" s="87"/>
      <c r="G376" s="81"/>
      <c r="H376" s="82"/>
      <c r="I376" s="87"/>
    </row>
    <row r="377">
      <c r="B377" s="87"/>
      <c r="G377" s="81"/>
      <c r="H377" s="82"/>
      <c r="I377" s="87"/>
    </row>
    <row r="378">
      <c r="B378" s="87"/>
      <c r="G378" s="81"/>
      <c r="H378" s="82"/>
      <c r="I378" s="87"/>
    </row>
    <row r="379">
      <c r="B379" s="87"/>
      <c r="G379" s="81"/>
      <c r="H379" s="82"/>
      <c r="I379" s="87"/>
    </row>
    <row r="380">
      <c r="B380" s="87"/>
      <c r="G380" s="81"/>
      <c r="H380" s="82"/>
      <c r="I380" s="87"/>
    </row>
    <row r="381">
      <c r="B381" s="87"/>
      <c r="G381" s="81"/>
      <c r="H381" s="82"/>
      <c r="I381" s="87"/>
    </row>
    <row r="382">
      <c r="B382" s="87"/>
      <c r="G382" s="81"/>
      <c r="H382" s="82"/>
      <c r="I382" s="87"/>
    </row>
    <row r="383">
      <c r="B383" s="87"/>
      <c r="G383" s="81"/>
      <c r="H383" s="82"/>
      <c r="I383" s="87"/>
    </row>
    <row r="384">
      <c r="B384" s="87"/>
      <c r="G384" s="81"/>
      <c r="H384" s="82"/>
      <c r="I384" s="87"/>
    </row>
    <row r="385">
      <c r="B385" s="87"/>
      <c r="G385" s="81"/>
      <c r="H385" s="82"/>
      <c r="I385" s="87"/>
    </row>
    <row r="386">
      <c r="B386" s="87"/>
      <c r="G386" s="81"/>
      <c r="H386" s="82"/>
      <c r="I386" s="87"/>
    </row>
    <row r="387">
      <c r="B387" s="87"/>
      <c r="G387" s="81"/>
      <c r="H387" s="82"/>
      <c r="I387" s="87"/>
    </row>
    <row r="388">
      <c r="B388" s="87"/>
      <c r="G388" s="81"/>
      <c r="H388" s="82"/>
      <c r="I388" s="87"/>
    </row>
    <row r="389">
      <c r="B389" s="87"/>
      <c r="G389" s="81"/>
      <c r="H389" s="82"/>
      <c r="I389" s="87"/>
    </row>
    <row r="390">
      <c r="B390" s="87"/>
      <c r="G390" s="81"/>
      <c r="H390" s="82"/>
      <c r="I390" s="87"/>
    </row>
    <row r="391">
      <c r="B391" s="87"/>
      <c r="G391" s="81"/>
      <c r="H391" s="82"/>
      <c r="I391" s="87"/>
    </row>
    <row r="392">
      <c r="B392" s="87"/>
      <c r="G392" s="81"/>
      <c r="H392" s="82"/>
      <c r="I392" s="87"/>
    </row>
    <row r="393">
      <c r="B393" s="87"/>
      <c r="G393" s="81"/>
      <c r="H393" s="82"/>
      <c r="I393" s="87"/>
    </row>
    <row r="394">
      <c r="B394" s="87"/>
      <c r="G394" s="81"/>
      <c r="H394" s="82"/>
      <c r="I394" s="87"/>
    </row>
    <row r="395">
      <c r="B395" s="87"/>
      <c r="G395" s="81"/>
      <c r="H395" s="82"/>
      <c r="I395" s="87"/>
    </row>
    <row r="396">
      <c r="B396" s="87"/>
      <c r="G396" s="81"/>
      <c r="H396" s="82"/>
      <c r="I396" s="87"/>
    </row>
    <row r="397">
      <c r="B397" s="87"/>
      <c r="G397" s="81"/>
      <c r="H397" s="82"/>
      <c r="I397" s="87"/>
    </row>
    <row r="398">
      <c r="B398" s="87"/>
      <c r="G398" s="81"/>
      <c r="H398" s="82"/>
      <c r="I398" s="87"/>
    </row>
    <row r="399">
      <c r="B399" s="87"/>
      <c r="G399" s="81"/>
      <c r="H399" s="82"/>
      <c r="I399" s="87"/>
    </row>
    <row r="400">
      <c r="B400" s="87"/>
      <c r="G400" s="81"/>
      <c r="H400" s="82"/>
      <c r="I400" s="87"/>
    </row>
    <row r="401">
      <c r="B401" s="87"/>
      <c r="G401" s="81"/>
      <c r="H401" s="82"/>
      <c r="I401" s="87"/>
    </row>
    <row r="402">
      <c r="B402" s="87"/>
      <c r="G402" s="81"/>
      <c r="H402" s="82"/>
      <c r="I402" s="87"/>
    </row>
    <row r="403">
      <c r="B403" s="87"/>
      <c r="G403" s="81"/>
      <c r="H403" s="82"/>
      <c r="I403" s="87"/>
    </row>
    <row r="404">
      <c r="B404" s="87"/>
      <c r="G404" s="81"/>
      <c r="H404" s="82"/>
      <c r="I404" s="87"/>
    </row>
    <row r="405">
      <c r="B405" s="87"/>
      <c r="G405" s="81"/>
      <c r="H405" s="82"/>
      <c r="I405" s="87"/>
    </row>
    <row r="406">
      <c r="B406" s="87"/>
      <c r="G406" s="81"/>
      <c r="H406" s="82"/>
      <c r="I406" s="87"/>
    </row>
    <row r="407">
      <c r="B407" s="87"/>
      <c r="G407" s="81"/>
      <c r="H407" s="82"/>
      <c r="I407" s="87"/>
    </row>
    <row r="408">
      <c r="B408" s="87"/>
      <c r="G408" s="81"/>
      <c r="H408" s="82"/>
      <c r="I408" s="87"/>
    </row>
    <row r="409">
      <c r="B409" s="87"/>
      <c r="G409" s="81"/>
      <c r="H409" s="82"/>
      <c r="I409" s="87"/>
    </row>
    <row r="410">
      <c r="B410" s="87"/>
      <c r="G410" s="81"/>
      <c r="H410" s="82"/>
      <c r="I410" s="87"/>
    </row>
    <row r="411">
      <c r="B411" s="87"/>
      <c r="G411" s="81"/>
      <c r="H411" s="82"/>
      <c r="I411" s="87"/>
    </row>
    <row r="412">
      <c r="B412" s="87"/>
      <c r="G412" s="81"/>
      <c r="H412" s="82"/>
      <c r="I412" s="87"/>
    </row>
    <row r="413">
      <c r="B413" s="87"/>
      <c r="G413" s="81"/>
      <c r="H413" s="82"/>
      <c r="I413" s="87"/>
    </row>
    <row r="414">
      <c r="B414" s="87"/>
      <c r="G414" s="81"/>
      <c r="H414" s="82"/>
      <c r="I414" s="87"/>
    </row>
    <row r="415">
      <c r="B415" s="87"/>
      <c r="G415" s="81"/>
      <c r="H415" s="82"/>
      <c r="I415" s="87"/>
    </row>
    <row r="416">
      <c r="B416" s="87"/>
      <c r="G416" s="81"/>
      <c r="H416" s="82"/>
      <c r="I416" s="87"/>
    </row>
    <row r="417">
      <c r="B417" s="87"/>
      <c r="G417" s="81"/>
      <c r="H417" s="82"/>
      <c r="I417" s="87"/>
    </row>
    <row r="418">
      <c r="B418" s="87"/>
      <c r="G418" s="81"/>
      <c r="H418" s="82"/>
      <c r="I418" s="87"/>
    </row>
    <row r="419">
      <c r="B419" s="87"/>
      <c r="G419" s="81"/>
      <c r="H419" s="82"/>
      <c r="I419" s="87"/>
    </row>
    <row r="420">
      <c r="B420" s="87"/>
      <c r="G420" s="81"/>
      <c r="H420" s="82"/>
      <c r="I420" s="87"/>
    </row>
    <row r="421">
      <c r="B421" s="87"/>
      <c r="G421" s="81"/>
      <c r="H421" s="82"/>
      <c r="I421" s="87"/>
    </row>
    <row r="422">
      <c r="B422" s="87"/>
      <c r="G422" s="81"/>
      <c r="H422" s="82"/>
      <c r="I422" s="87"/>
    </row>
    <row r="423">
      <c r="B423" s="87"/>
      <c r="G423" s="81"/>
      <c r="H423" s="82"/>
      <c r="I423" s="87"/>
    </row>
    <row r="424">
      <c r="B424" s="87"/>
      <c r="G424" s="81"/>
      <c r="H424" s="82"/>
      <c r="I424" s="87"/>
    </row>
    <row r="425">
      <c r="B425" s="87"/>
      <c r="G425" s="81"/>
      <c r="H425" s="82"/>
      <c r="I425" s="87"/>
    </row>
    <row r="426">
      <c r="B426" s="87"/>
      <c r="G426" s="81"/>
      <c r="H426" s="82"/>
      <c r="I426" s="87"/>
    </row>
    <row r="427">
      <c r="B427" s="87"/>
      <c r="G427" s="81"/>
      <c r="H427" s="82"/>
      <c r="I427" s="87"/>
    </row>
    <row r="428">
      <c r="B428" s="87"/>
      <c r="G428" s="81"/>
      <c r="H428" s="82"/>
      <c r="I428" s="87"/>
    </row>
    <row r="429">
      <c r="B429" s="87"/>
      <c r="G429" s="81"/>
      <c r="H429" s="82"/>
      <c r="I429" s="87"/>
    </row>
    <row r="430">
      <c r="B430" s="87"/>
      <c r="G430" s="81"/>
      <c r="H430" s="82"/>
      <c r="I430" s="87"/>
    </row>
    <row r="431">
      <c r="B431" s="87"/>
      <c r="G431" s="81"/>
      <c r="H431" s="82"/>
      <c r="I431" s="87"/>
    </row>
    <row r="432">
      <c r="B432" s="87"/>
      <c r="G432" s="81"/>
      <c r="H432" s="82"/>
      <c r="I432" s="87"/>
    </row>
    <row r="433">
      <c r="B433" s="87"/>
      <c r="G433" s="81"/>
      <c r="H433" s="82"/>
      <c r="I433" s="87"/>
    </row>
    <row r="434">
      <c r="B434" s="87"/>
      <c r="G434" s="81"/>
      <c r="H434" s="82"/>
      <c r="I434" s="87"/>
    </row>
    <row r="435">
      <c r="B435" s="87"/>
      <c r="G435" s="81"/>
      <c r="H435" s="82"/>
      <c r="I435" s="87"/>
    </row>
    <row r="436">
      <c r="B436" s="87"/>
      <c r="G436" s="81"/>
      <c r="H436" s="82"/>
      <c r="I436" s="87"/>
    </row>
    <row r="437">
      <c r="B437" s="87"/>
      <c r="G437" s="81"/>
      <c r="H437" s="82"/>
      <c r="I437" s="87"/>
    </row>
    <row r="438">
      <c r="B438" s="87"/>
      <c r="G438" s="81"/>
      <c r="H438" s="82"/>
      <c r="I438" s="87"/>
    </row>
    <row r="439">
      <c r="B439" s="87"/>
      <c r="G439" s="81"/>
      <c r="H439" s="82"/>
      <c r="I439" s="87"/>
    </row>
    <row r="440">
      <c r="B440" s="87"/>
      <c r="G440" s="81"/>
      <c r="H440" s="82"/>
      <c r="I440" s="87"/>
    </row>
    <row r="441">
      <c r="B441" s="87"/>
      <c r="G441" s="81"/>
      <c r="H441" s="82"/>
      <c r="I441" s="87"/>
    </row>
    <row r="442">
      <c r="B442" s="87"/>
      <c r="G442" s="81"/>
      <c r="H442" s="82"/>
      <c r="I442" s="87"/>
    </row>
    <row r="443">
      <c r="B443" s="87"/>
      <c r="G443" s="81"/>
      <c r="H443" s="82"/>
      <c r="I443" s="87"/>
    </row>
    <row r="444">
      <c r="B444" s="87"/>
      <c r="G444" s="81"/>
      <c r="H444" s="82"/>
      <c r="I444" s="87"/>
    </row>
    <row r="445">
      <c r="B445" s="87"/>
      <c r="G445" s="81"/>
      <c r="H445" s="82"/>
      <c r="I445" s="87"/>
    </row>
    <row r="446">
      <c r="B446" s="87"/>
      <c r="G446" s="81"/>
      <c r="H446" s="82"/>
      <c r="I446" s="87"/>
    </row>
    <row r="447">
      <c r="B447" s="87"/>
      <c r="G447" s="81"/>
      <c r="H447" s="82"/>
      <c r="I447" s="87"/>
    </row>
    <row r="448">
      <c r="B448" s="87"/>
      <c r="G448" s="81"/>
      <c r="H448" s="82"/>
      <c r="I448" s="87"/>
    </row>
    <row r="449">
      <c r="B449" s="87"/>
      <c r="G449" s="81"/>
      <c r="H449" s="82"/>
      <c r="I449" s="87"/>
    </row>
    <row r="450">
      <c r="B450" s="87"/>
      <c r="G450" s="81"/>
      <c r="H450" s="82"/>
      <c r="I450" s="87"/>
    </row>
    <row r="451">
      <c r="B451" s="87"/>
      <c r="G451" s="81"/>
      <c r="H451" s="82"/>
      <c r="I451" s="87"/>
    </row>
    <row r="452">
      <c r="B452" s="87"/>
      <c r="G452" s="81"/>
      <c r="H452" s="82"/>
      <c r="I452" s="87"/>
    </row>
    <row r="453">
      <c r="B453" s="87"/>
      <c r="G453" s="81"/>
      <c r="H453" s="82"/>
      <c r="I453" s="87"/>
    </row>
    <row r="454">
      <c r="B454" s="87"/>
      <c r="G454" s="81"/>
      <c r="H454" s="82"/>
      <c r="I454" s="87"/>
    </row>
    <row r="455">
      <c r="B455" s="87"/>
      <c r="G455" s="81"/>
      <c r="H455" s="82"/>
      <c r="I455" s="87"/>
    </row>
    <row r="456">
      <c r="B456" s="87"/>
      <c r="G456" s="81"/>
      <c r="H456" s="82"/>
      <c r="I456" s="87"/>
    </row>
    <row r="457">
      <c r="B457" s="87"/>
      <c r="G457" s="81"/>
      <c r="H457" s="82"/>
      <c r="I457" s="87"/>
    </row>
    <row r="458">
      <c r="B458" s="87"/>
      <c r="G458" s="81"/>
      <c r="H458" s="82"/>
      <c r="I458" s="87"/>
    </row>
    <row r="459">
      <c r="B459" s="87"/>
      <c r="G459" s="81"/>
      <c r="H459" s="82"/>
      <c r="I459" s="87"/>
    </row>
    <row r="460">
      <c r="B460" s="87"/>
      <c r="G460" s="81"/>
      <c r="H460" s="82"/>
      <c r="I460" s="87"/>
    </row>
    <row r="461">
      <c r="B461" s="87"/>
      <c r="G461" s="81"/>
      <c r="H461" s="82"/>
      <c r="I461" s="87"/>
    </row>
    <row r="462">
      <c r="B462" s="87"/>
      <c r="G462" s="81"/>
      <c r="H462" s="82"/>
      <c r="I462" s="87"/>
    </row>
    <row r="463">
      <c r="B463" s="87"/>
      <c r="G463" s="81"/>
      <c r="H463" s="82"/>
      <c r="I463" s="87"/>
    </row>
    <row r="464">
      <c r="B464" s="87"/>
      <c r="G464" s="81"/>
      <c r="H464" s="82"/>
      <c r="I464" s="87"/>
    </row>
    <row r="465">
      <c r="B465" s="87"/>
      <c r="G465" s="81"/>
      <c r="H465" s="82"/>
      <c r="I465" s="87"/>
    </row>
    <row r="466">
      <c r="B466" s="87"/>
      <c r="G466" s="81"/>
      <c r="H466" s="82"/>
      <c r="I466" s="87"/>
    </row>
    <row r="467">
      <c r="B467" s="87"/>
      <c r="G467" s="81"/>
      <c r="H467" s="82"/>
      <c r="I467" s="87"/>
    </row>
    <row r="468">
      <c r="B468" s="87"/>
      <c r="G468" s="81"/>
      <c r="H468" s="82"/>
      <c r="I468" s="87"/>
    </row>
    <row r="469">
      <c r="B469" s="87"/>
      <c r="G469" s="81"/>
      <c r="H469" s="82"/>
      <c r="I469" s="87"/>
    </row>
    <row r="470">
      <c r="B470" s="87"/>
      <c r="G470" s="81"/>
      <c r="H470" s="82"/>
      <c r="I470" s="87"/>
    </row>
    <row r="471">
      <c r="B471" s="87"/>
      <c r="G471" s="81"/>
      <c r="H471" s="82"/>
      <c r="I471" s="87"/>
    </row>
    <row r="472">
      <c r="B472" s="87"/>
      <c r="G472" s="81"/>
      <c r="H472" s="82"/>
      <c r="I472" s="87"/>
    </row>
    <row r="473">
      <c r="B473" s="87"/>
      <c r="G473" s="81"/>
      <c r="H473" s="82"/>
      <c r="I473" s="87"/>
    </row>
    <row r="474">
      <c r="B474" s="87"/>
      <c r="G474" s="81"/>
      <c r="H474" s="82"/>
      <c r="I474" s="87"/>
    </row>
    <row r="475">
      <c r="B475" s="87"/>
      <c r="G475" s="81"/>
      <c r="H475" s="82"/>
      <c r="I475" s="87"/>
    </row>
    <row r="476">
      <c r="B476" s="87"/>
      <c r="G476" s="81"/>
      <c r="H476" s="82"/>
      <c r="I476" s="87"/>
    </row>
    <row r="477">
      <c r="B477" s="87"/>
      <c r="G477" s="81"/>
      <c r="H477" s="82"/>
      <c r="I477" s="87"/>
    </row>
    <row r="478">
      <c r="B478" s="87"/>
      <c r="G478" s="81"/>
      <c r="H478" s="82"/>
      <c r="I478" s="87"/>
    </row>
    <row r="479">
      <c r="B479" s="87"/>
      <c r="G479" s="81"/>
      <c r="H479" s="82"/>
      <c r="I479" s="87"/>
    </row>
    <row r="480">
      <c r="B480" s="87"/>
      <c r="G480" s="81"/>
      <c r="H480" s="82"/>
      <c r="I480" s="87"/>
    </row>
    <row r="481">
      <c r="B481" s="87"/>
      <c r="G481" s="81"/>
      <c r="H481" s="82"/>
      <c r="I481" s="87"/>
    </row>
    <row r="482">
      <c r="B482" s="87"/>
      <c r="G482" s="81"/>
      <c r="H482" s="82"/>
      <c r="I482" s="87"/>
    </row>
    <row r="483">
      <c r="B483" s="87"/>
      <c r="G483" s="81"/>
      <c r="H483" s="82"/>
      <c r="I483" s="87"/>
    </row>
    <row r="484">
      <c r="B484" s="87"/>
      <c r="G484" s="81"/>
      <c r="H484" s="82"/>
      <c r="I484" s="87"/>
    </row>
    <row r="485">
      <c r="B485" s="87"/>
      <c r="G485" s="81"/>
      <c r="H485" s="82"/>
      <c r="I485" s="87"/>
    </row>
    <row r="486">
      <c r="B486" s="87"/>
      <c r="G486" s="81"/>
      <c r="H486" s="82"/>
      <c r="I486" s="87"/>
    </row>
    <row r="487">
      <c r="B487" s="87"/>
      <c r="G487" s="81"/>
      <c r="H487" s="82"/>
      <c r="I487" s="87"/>
    </row>
    <row r="488">
      <c r="B488" s="87"/>
      <c r="G488" s="81"/>
      <c r="H488" s="82"/>
      <c r="I488" s="87"/>
    </row>
    <row r="489">
      <c r="B489" s="87"/>
      <c r="G489" s="81"/>
      <c r="H489" s="82"/>
      <c r="I489" s="87"/>
    </row>
    <row r="490">
      <c r="B490" s="87"/>
      <c r="G490" s="81"/>
      <c r="H490" s="82"/>
      <c r="I490" s="87"/>
    </row>
    <row r="491">
      <c r="B491" s="87"/>
      <c r="G491" s="81"/>
      <c r="H491" s="82"/>
      <c r="I491" s="87"/>
    </row>
    <row r="492">
      <c r="B492" s="87"/>
      <c r="G492" s="81"/>
      <c r="H492" s="82"/>
      <c r="I492" s="87"/>
    </row>
    <row r="493">
      <c r="B493" s="87"/>
      <c r="G493" s="81"/>
      <c r="H493" s="82"/>
      <c r="I493" s="87"/>
    </row>
    <row r="494">
      <c r="B494" s="87"/>
      <c r="G494" s="81"/>
      <c r="H494" s="82"/>
      <c r="I494" s="87"/>
    </row>
    <row r="495">
      <c r="B495" s="87"/>
      <c r="G495" s="81"/>
      <c r="H495" s="82"/>
      <c r="I495" s="87"/>
    </row>
    <row r="496">
      <c r="B496" s="87"/>
      <c r="G496" s="81"/>
      <c r="H496" s="82"/>
      <c r="I496" s="87"/>
    </row>
    <row r="497">
      <c r="B497" s="87"/>
      <c r="G497" s="81"/>
      <c r="H497" s="82"/>
      <c r="I497" s="87"/>
    </row>
    <row r="498">
      <c r="B498" s="87"/>
      <c r="G498" s="81"/>
      <c r="H498" s="82"/>
      <c r="I498" s="87"/>
    </row>
    <row r="499">
      <c r="B499" s="87"/>
      <c r="G499" s="81"/>
      <c r="H499" s="82"/>
      <c r="I499" s="87"/>
    </row>
    <row r="500">
      <c r="B500" s="87"/>
      <c r="G500" s="81"/>
      <c r="H500" s="82"/>
      <c r="I500" s="87"/>
    </row>
    <row r="501">
      <c r="B501" s="87"/>
      <c r="G501" s="81"/>
      <c r="H501" s="82"/>
      <c r="I501" s="87"/>
    </row>
    <row r="502">
      <c r="B502" s="87"/>
      <c r="G502" s="81"/>
      <c r="H502" s="82"/>
      <c r="I502" s="87"/>
    </row>
    <row r="503">
      <c r="B503" s="87"/>
      <c r="G503" s="81"/>
      <c r="H503" s="82"/>
      <c r="I503" s="87"/>
    </row>
    <row r="504">
      <c r="B504" s="87"/>
      <c r="G504" s="81"/>
      <c r="H504" s="82"/>
      <c r="I504" s="87"/>
    </row>
    <row r="505">
      <c r="B505" s="87"/>
      <c r="G505" s="81"/>
      <c r="H505" s="82"/>
      <c r="I505" s="87"/>
    </row>
    <row r="506">
      <c r="B506" s="87"/>
      <c r="G506" s="81"/>
      <c r="H506" s="82"/>
      <c r="I506" s="87"/>
    </row>
    <row r="507">
      <c r="B507" s="87"/>
      <c r="G507" s="81"/>
      <c r="H507" s="82"/>
      <c r="I507" s="87"/>
    </row>
    <row r="508">
      <c r="B508" s="87"/>
      <c r="G508" s="81"/>
      <c r="H508" s="82"/>
      <c r="I508" s="87"/>
    </row>
    <row r="509">
      <c r="B509" s="87"/>
      <c r="G509" s="81"/>
      <c r="H509" s="82"/>
      <c r="I509" s="87"/>
    </row>
    <row r="510">
      <c r="B510" s="87"/>
      <c r="G510" s="81"/>
      <c r="H510" s="82"/>
      <c r="I510" s="87"/>
    </row>
    <row r="511">
      <c r="B511" s="87"/>
      <c r="G511" s="81"/>
      <c r="H511" s="82"/>
      <c r="I511" s="87"/>
    </row>
    <row r="512">
      <c r="B512" s="87"/>
      <c r="G512" s="81"/>
      <c r="H512" s="82"/>
      <c r="I512" s="87"/>
    </row>
    <row r="513">
      <c r="B513" s="87"/>
      <c r="G513" s="81"/>
      <c r="H513" s="82"/>
      <c r="I513" s="87"/>
    </row>
    <row r="514">
      <c r="B514" s="87"/>
      <c r="G514" s="81"/>
      <c r="H514" s="82"/>
      <c r="I514" s="87"/>
    </row>
    <row r="515">
      <c r="B515" s="87"/>
      <c r="G515" s="81"/>
      <c r="H515" s="82"/>
      <c r="I515" s="87"/>
    </row>
    <row r="516">
      <c r="B516" s="87"/>
      <c r="G516" s="81"/>
      <c r="H516" s="82"/>
      <c r="I516" s="87"/>
    </row>
    <row r="517">
      <c r="B517" s="87"/>
      <c r="G517" s="81"/>
      <c r="H517" s="82"/>
      <c r="I517" s="87"/>
    </row>
    <row r="518">
      <c r="B518" s="87"/>
      <c r="G518" s="81"/>
      <c r="H518" s="82"/>
      <c r="I518" s="87"/>
    </row>
    <row r="519">
      <c r="B519" s="87"/>
      <c r="G519" s="81"/>
      <c r="H519" s="82"/>
      <c r="I519" s="87"/>
    </row>
    <row r="520">
      <c r="B520" s="87"/>
      <c r="G520" s="81"/>
      <c r="H520" s="82"/>
      <c r="I520" s="87"/>
    </row>
    <row r="521">
      <c r="B521" s="87"/>
      <c r="G521" s="81"/>
      <c r="H521" s="82"/>
      <c r="I521" s="87"/>
    </row>
    <row r="522">
      <c r="B522" s="87"/>
      <c r="G522" s="81"/>
      <c r="H522" s="82"/>
      <c r="I522" s="87"/>
    </row>
    <row r="523">
      <c r="B523" s="87"/>
      <c r="G523" s="81"/>
      <c r="H523" s="82"/>
      <c r="I523" s="87"/>
    </row>
    <row r="524">
      <c r="B524" s="87"/>
      <c r="G524" s="81"/>
      <c r="H524" s="82"/>
      <c r="I524" s="87"/>
    </row>
    <row r="525">
      <c r="B525" s="87"/>
      <c r="G525" s="81"/>
      <c r="H525" s="82"/>
      <c r="I525" s="87"/>
    </row>
    <row r="526">
      <c r="B526" s="87"/>
      <c r="G526" s="81"/>
      <c r="H526" s="82"/>
      <c r="I526" s="87"/>
    </row>
    <row r="527">
      <c r="B527" s="87"/>
      <c r="G527" s="81"/>
      <c r="H527" s="82"/>
      <c r="I527" s="87"/>
    </row>
    <row r="528">
      <c r="B528" s="87"/>
      <c r="G528" s="81"/>
      <c r="H528" s="82"/>
      <c r="I528" s="87"/>
    </row>
    <row r="529">
      <c r="B529" s="87"/>
      <c r="G529" s="81"/>
      <c r="H529" s="82"/>
      <c r="I529" s="87"/>
    </row>
    <row r="530">
      <c r="B530" s="87"/>
      <c r="G530" s="81"/>
      <c r="H530" s="82"/>
      <c r="I530" s="87"/>
    </row>
    <row r="531">
      <c r="B531" s="87"/>
      <c r="G531" s="81"/>
      <c r="H531" s="82"/>
      <c r="I531" s="87"/>
    </row>
    <row r="532">
      <c r="B532" s="87"/>
      <c r="G532" s="81"/>
      <c r="H532" s="82"/>
      <c r="I532" s="87"/>
    </row>
    <row r="533">
      <c r="B533" s="87"/>
      <c r="G533" s="81"/>
      <c r="H533" s="82"/>
      <c r="I533" s="87"/>
    </row>
    <row r="534">
      <c r="B534" s="87"/>
      <c r="G534" s="81"/>
      <c r="H534" s="82"/>
      <c r="I534" s="87"/>
    </row>
    <row r="535">
      <c r="B535" s="87"/>
      <c r="G535" s="81"/>
      <c r="H535" s="82"/>
      <c r="I535" s="87"/>
    </row>
    <row r="536">
      <c r="B536" s="87"/>
      <c r="G536" s="81"/>
      <c r="H536" s="82"/>
      <c r="I536" s="87"/>
    </row>
    <row r="537">
      <c r="B537" s="87"/>
      <c r="G537" s="81"/>
      <c r="H537" s="82"/>
      <c r="I537" s="87"/>
    </row>
    <row r="538">
      <c r="B538" s="87"/>
      <c r="G538" s="81"/>
      <c r="H538" s="82"/>
      <c r="I538" s="87"/>
    </row>
    <row r="539">
      <c r="B539" s="87"/>
      <c r="G539" s="81"/>
      <c r="H539" s="82"/>
      <c r="I539" s="87"/>
    </row>
    <row r="540">
      <c r="B540" s="87"/>
      <c r="G540" s="81"/>
      <c r="H540" s="82"/>
      <c r="I540" s="87"/>
    </row>
    <row r="541">
      <c r="B541" s="87"/>
      <c r="G541" s="81"/>
      <c r="H541" s="82"/>
      <c r="I541" s="87"/>
    </row>
    <row r="542">
      <c r="B542" s="87"/>
      <c r="G542" s="81"/>
      <c r="H542" s="82"/>
      <c r="I542" s="87"/>
    </row>
    <row r="543">
      <c r="B543" s="87"/>
      <c r="G543" s="81"/>
      <c r="H543" s="82"/>
      <c r="I543" s="87"/>
    </row>
    <row r="544">
      <c r="B544" s="87"/>
      <c r="G544" s="81"/>
      <c r="H544" s="82"/>
      <c r="I544" s="87"/>
    </row>
    <row r="545">
      <c r="B545" s="87"/>
      <c r="G545" s="81"/>
      <c r="H545" s="82"/>
      <c r="I545" s="87"/>
    </row>
    <row r="546">
      <c r="B546" s="87"/>
      <c r="G546" s="81"/>
      <c r="H546" s="82"/>
      <c r="I546" s="87"/>
    </row>
    <row r="547">
      <c r="B547" s="87"/>
      <c r="G547" s="81"/>
      <c r="H547" s="82"/>
      <c r="I547" s="87"/>
    </row>
    <row r="548">
      <c r="B548" s="87"/>
      <c r="G548" s="81"/>
      <c r="H548" s="82"/>
      <c r="I548" s="87"/>
    </row>
    <row r="549">
      <c r="B549" s="87"/>
      <c r="G549" s="81"/>
      <c r="H549" s="82"/>
      <c r="I549" s="87"/>
    </row>
    <row r="550">
      <c r="B550" s="87"/>
      <c r="G550" s="81"/>
      <c r="H550" s="82"/>
      <c r="I550" s="87"/>
    </row>
    <row r="551">
      <c r="B551" s="87"/>
      <c r="G551" s="81"/>
      <c r="H551" s="82"/>
      <c r="I551" s="87"/>
    </row>
    <row r="552">
      <c r="B552" s="87"/>
      <c r="G552" s="81"/>
      <c r="H552" s="82"/>
      <c r="I552" s="87"/>
    </row>
    <row r="553">
      <c r="B553" s="87"/>
      <c r="G553" s="81"/>
      <c r="H553" s="82"/>
      <c r="I553" s="87"/>
    </row>
    <row r="554">
      <c r="B554" s="87"/>
      <c r="G554" s="81"/>
      <c r="H554" s="82"/>
      <c r="I554" s="87"/>
    </row>
    <row r="555">
      <c r="B555" s="87"/>
      <c r="G555" s="81"/>
      <c r="H555" s="82"/>
      <c r="I555" s="87"/>
    </row>
    <row r="556">
      <c r="B556" s="87"/>
      <c r="G556" s="81"/>
      <c r="H556" s="82"/>
      <c r="I556" s="87"/>
    </row>
    <row r="557">
      <c r="B557" s="87"/>
      <c r="G557" s="81"/>
      <c r="H557" s="82"/>
      <c r="I557" s="87"/>
    </row>
    <row r="558">
      <c r="B558" s="87"/>
      <c r="G558" s="81"/>
      <c r="H558" s="82"/>
      <c r="I558" s="87"/>
    </row>
    <row r="559">
      <c r="B559" s="87"/>
      <c r="G559" s="81"/>
      <c r="H559" s="82"/>
      <c r="I559" s="87"/>
    </row>
    <row r="560">
      <c r="B560" s="87"/>
      <c r="G560" s="81"/>
      <c r="H560" s="82"/>
      <c r="I560" s="87"/>
    </row>
    <row r="561">
      <c r="B561" s="87"/>
      <c r="G561" s="81"/>
      <c r="H561" s="82"/>
      <c r="I561" s="87"/>
    </row>
    <row r="562">
      <c r="B562" s="87"/>
      <c r="G562" s="81"/>
      <c r="H562" s="82"/>
      <c r="I562" s="87"/>
    </row>
    <row r="563">
      <c r="B563" s="87"/>
      <c r="G563" s="81"/>
      <c r="H563" s="82"/>
      <c r="I563" s="87"/>
    </row>
    <row r="564">
      <c r="B564" s="87"/>
      <c r="G564" s="81"/>
      <c r="H564" s="82"/>
      <c r="I564" s="87"/>
    </row>
    <row r="565">
      <c r="B565" s="87"/>
      <c r="G565" s="81"/>
      <c r="H565" s="82"/>
      <c r="I565" s="87"/>
    </row>
    <row r="566">
      <c r="B566" s="87"/>
      <c r="G566" s="81"/>
      <c r="H566" s="82"/>
      <c r="I566" s="87"/>
    </row>
    <row r="567">
      <c r="B567" s="87"/>
      <c r="G567" s="81"/>
      <c r="H567" s="82"/>
      <c r="I567" s="87"/>
    </row>
    <row r="568">
      <c r="B568" s="87"/>
      <c r="G568" s="81"/>
      <c r="H568" s="82"/>
      <c r="I568" s="87"/>
    </row>
    <row r="569">
      <c r="B569" s="87"/>
      <c r="G569" s="81"/>
      <c r="H569" s="82"/>
      <c r="I569" s="87"/>
    </row>
    <row r="570">
      <c r="B570" s="87"/>
      <c r="G570" s="81"/>
      <c r="H570" s="82"/>
      <c r="I570" s="87"/>
    </row>
    <row r="571">
      <c r="B571" s="87"/>
      <c r="G571" s="81"/>
      <c r="H571" s="82"/>
      <c r="I571" s="87"/>
    </row>
    <row r="572">
      <c r="B572" s="87"/>
      <c r="G572" s="81"/>
      <c r="H572" s="82"/>
      <c r="I572" s="87"/>
    </row>
    <row r="573">
      <c r="B573" s="87"/>
      <c r="G573" s="81"/>
      <c r="H573" s="82"/>
      <c r="I573" s="87"/>
    </row>
    <row r="574">
      <c r="B574" s="87"/>
      <c r="G574" s="81"/>
      <c r="H574" s="82"/>
      <c r="I574" s="87"/>
    </row>
    <row r="575">
      <c r="B575" s="87"/>
      <c r="G575" s="81"/>
      <c r="H575" s="82"/>
      <c r="I575" s="87"/>
    </row>
    <row r="576">
      <c r="B576" s="87"/>
      <c r="G576" s="81"/>
      <c r="H576" s="82"/>
      <c r="I576" s="87"/>
    </row>
    <row r="577">
      <c r="B577" s="87"/>
      <c r="G577" s="81"/>
      <c r="H577" s="82"/>
      <c r="I577" s="87"/>
    </row>
    <row r="578">
      <c r="B578" s="87"/>
      <c r="G578" s="81"/>
      <c r="H578" s="82"/>
      <c r="I578" s="87"/>
    </row>
    <row r="579">
      <c r="B579" s="87"/>
      <c r="G579" s="81"/>
      <c r="H579" s="82"/>
      <c r="I579" s="87"/>
    </row>
    <row r="580">
      <c r="B580" s="87"/>
      <c r="G580" s="81"/>
      <c r="H580" s="82"/>
      <c r="I580" s="87"/>
    </row>
    <row r="581">
      <c r="B581" s="87"/>
      <c r="G581" s="81"/>
      <c r="H581" s="82"/>
      <c r="I581" s="87"/>
    </row>
    <row r="582">
      <c r="B582" s="87"/>
      <c r="G582" s="81"/>
      <c r="H582" s="82"/>
      <c r="I582" s="87"/>
    </row>
    <row r="583">
      <c r="B583" s="87"/>
      <c r="G583" s="81"/>
      <c r="H583" s="82"/>
      <c r="I583" s="87"/>
    </row>
    <row r="584">
      <c r="B584" s="87"/>
      <c r="G584" s="81"/>
      <c r="H584" s="82"/>
      <c r="I584" s="87"/>
    </row>
    <row r="585">
      <c r="B585" s="87"/>
      <c r="G585" s="81"/>
      <c r="H585" s="82"/>
      <c r="I585" s="87"/>
    </row>
    <row r="586">
      <c r="B586" s="87"/>
      <c r="G586" s="81"/>
      <c r="H586" s="82"/>
      <c r="I586" s="87"/>
    </row>
    <row r="587">
      <c r="B587" s="87"/>
      <c r="G587" s="81"/>
      <c r="H587" s="82"/>
      <c r="I587" s="87"/>
    </row>
    <row r="588">
      <c r="B588" s="87"/>
      <c r="G588" s="81"/>
      <c r="H588" s="82"/>
      <c r="I588" s="87"/>
    </row>
    <row r="589">
      <c r="B589" s="87"/>
      <c r="G589" s="81"/>
      <c r="H589" s="82"/>
      <c r="I589" s="87"/>
    </row>
    <row r="590">
      <c r="B590" s="87"/>
      <c r="G590" s="81"/>
      <c r="H590" s="82"/>
      <c r="I590" s="87"/>
    </row>
    <row r="591">
      <c r="B591" s="87"/>
      <c r="G591" s="81"/>
      <c r="H591" s="82"/>
      <c r="I591" s="87"/>
    </row>
    <row r="592">
      <c r="B592" s="87"/>
      <c r="G592" s="81"/>
      <c r="H592" s="82"/>
      <c r="I592" s="87"/>
    </row>
    <row r="593">
      <c r="B593" s="87"/>
      <c r="G593" s="81"/>
      <c r="H593" s="82"/>
      <c r="I593" s="87"/>
    </row>
    <row r="594">
      <c r="B594" s="87"/>
      <c r="G594" s="81"/>
      <c r="H594" s="82"/>
      <c r="I594" s="87"/>
    </row>
    <row r="595">
      <c r="B595" s="87"/>
      <c r="G595" s="81"/>
      <c r="H595" s="82"/>
      <c r="I595" s="87"/>
    </row>
    <row r="596">
      <c r="B596" s="87"/>
      <c r="G596" s="81"/>
      <c r="H596" s="82"/>
      <c r="I596" s="87"/>
    </row>
    <row r="597">
      <c r="B597" s="87"/>
      <c r="G597" s="81"/>
      <c r="H597" s="82"/>
      <c r="I597" s="87"/>
    </row>
    <row r="598">
      <c r="B598" s="87"/>
      <c r="G598" s="81"/>
      <c r="H598" s="82"/>
      <c r="I598" s="87"/>
    </row>
    <row r="599">
      <c r="B599" s="87"/>
      <c r="G599" s="81"/>
      <c r="H599" s="82"/>
      <c r="I599" s="87"/>
    </row>
    <row r="600">
      <c r="B600" s="87"/>
      <c r="G600" s="81"/>
      <c r="H600" s="82"/>
      <c r="I600" s="87"/>
    </row>
    <row r="601">
      <c r="B601" s="87"/>
      <c r="G601" s="81"/>
      <c r="H601" s="82"/>
      <c r="I601" s="87"/>
    </row>
    <row r="602">
      <c r="B602" s="87"/>
      <c r="G602" s="81"/>
      <c r="H602" s="82"/>
      <c r="I602" s="87"/>
    </row>
    <row r="603">
      <c r="B603" s="87"/>
      <c r="G603" s="81"/>
      <c r="H603" s="82"/>
      <c r="I603" s="87"/>
    </row>
    <row r="604">
      <c r="B604" s="87"/>
      <c r="G604" s="81"/>
      <c r="H604" s="82"/>
      <c r="I604" s="87"/>
    </row>
    <row r="605">
      <c r="B605" s="87"/>
      <c r="G605" s="81"/>
      <c r="H605" s="82"/>
      <c r="I605" s="87"/>
    </row>
    <row r="606">
      <c r="B606" s="87"/>
      <c r="G606" s="81"/>
      <c r="H606" s="82"/>
      <c r="I606" s="87"/>
    </row>
    <row r="607">
      <c r="B607" s="87"/>
      <c r="G607" s="81"/>
      <c r="H607" s="82"/>
      <c r="I607" s="87"/>
    </row>
    <row r="608">
      <c r="B608" s="87"/>
      <c r="G608" s="81"/>
      <c r="H608" s="82"/>
      <c r="I608" s="87"/>
    </row>
    <row r="609">
      <c r="B609" s="87"/>
      <c r="G609" s="81"/>
      <c r="H609" s="82"/>
      <c r="I609" s="87"/>
    </row>
    <row r="610">
      <c r="B610" s="87"/>
      <c r="G610" s="81"/>
      <c r="H610" s="82"/>
      <c r="I610" s="87"/>
    </row>
    <row r="611">
      <c r="B611" s="87"/>
      <c r="G611" s="81"/>
      <c r="H611" s="82"/>
      <c r="I611" s="87"/>
    </row>
    <row r="612">
      <c r="B612" s="87"/>
      <c r="G612" s="81"/>
      <c r="H612" s="82"/>
      <c r="I612" s="87"/>
    </row>
    <row r="613">
      <c r="B613" s="87"/>
      <c r="G613" s="81"/>
      <c r="H613" s="82"/>
      <c r="I613" s="87"/>
    </row>
    <row r="614">
      <c r="B614" s="87"/>
      <c r="G614" s="81"/>
      <c r="H614" s="82"/>
      <c r="I614" s="87"/>
    </row>
    <row r="615">
      <c r="B615" s="87"/>
      <c r="G615" s="81"/>
      <c r="H615" s="82"/>
      <c r="I615" s="87"/>
    </row>
    <row r="616">
      <c r="B616" s="87"/>
      <c r="G616" s="81"/>
      <c r="H616" s="82"/>
      <c r="I616" s="87"/>
    </row>
    <row r="617">
      <c r="B617" s="87"/>
      <c r="G617" s="81"/>
      <c r="H617" s="82"/>
      <c r="I617" s="87"/>
    </row>
    <row r="618">
      <c r="B618" s="87"/>
      <c r="G618" s="81"/>
      <c r="H618" s="82"/>
      <c r="I618" s="87"/>
    </row>
    <row r="619">
      <c r="B619" s="87"/>
      <c r="G619" s="81"/>
      <c r="H619" s="82"/>
      <c r="I619" s="87"/>
    </row>
    <row r="620">
      <c r="B620" s="87"/>
      <c r="G620" s="81"/>
      <c r="H620" s="82"/>
      <c r="I620" s="87"/>
    </row>
    <row r="621">
      <c r="B621" s="87"/>
      <c r="G621" s="81"/>
      <c r="H621" s="82"/>
      <c r="I621" s="87"/>
    </row>
    <row r="622">
      <c r="B622" s="87"/>
      <c r="G622" s="81"/>
      <c r="H622" s="82"/>
      <c r="I622" s="87"/>
    </row>
    <row r="623">
      <c r="B623" s="87"/>
      <c r="G623" s="81"/>
      <c r="H623" s="82"/>
      <c r="I623" s="87"/>
    </row>
    <row r="624">
      <c r="B624" s="87"/>
      <c r="G624" s="81"/>
      <c r="H624" s="82"/>
      <c r="I624" s="87"/>
    </row>
    <row r="625">
      <c r="B625" s="87"/>
      <c r="G625" s="81"/>
      <c r="H625" s="82"/>
      <c r="I625" s="87"/>
    </row>
    <row r="626">
      <c r="B626" s="87"/>
      <c r="G626" s="81"/>
      <c r="H626" s="82"/>
      <c r="I626" s="87"/>
    </row>
    <row r="627">
      <c r="B627" s="87"/>
      <c r="G627" s="81"/>
      <c r="H627" s="82"/>
      <c r="I627" s="87"/>
    </row>
    <row r="628">
      <c r="B628" s="87"/>
      <c r="G628" s="81"/>
      <c r="H628" s="82"/>
      <c r="I628" s="87"/>
    </row>
    <row r="629">
      <c r="B629" s="87"/>
      <c r="G629" s="81"/>
      <c r="H629" s="82"/>
      <c r="I629" s="87"/>
    </row>
    <row r="630">
      <c r="B630" s="87"/>
      <c r="G630" s="81"/>
      <c r="H630" s="82"/>
      <c r="I630" s="87"/>
    </row>
    <row r="631">
      <c r="B631" s="87"/>
      <c r="G631" s="81"/>
      <c r="H631" s="82"/>
      <c r="I631" s="87"/>
    </row>
    <row r="632">
      <c r="B632" s="87"/>
      <c r="G632" s="81"/>
      <c r="H632" s="82"/>
      <c r="I632" s="87"/>
    </row>
    <row r="633">
      <c r="B633" s="87"/>
      <c r="G633" s="81"/>
      <c r="H633" s="82"/>
      <c r="I633" s="87"/>
    </row>
    <row r="634">
      <c r="B634" s="87"/>
      <c r="G634" s="81"/>
      <c r="H634" s="82"/>
      <c r="I634" s="87"/>
    </row>
    <row r="635">
      <c r="B635" s="87"/>
      <c r="G635" s="81"/>
      <c r="H635" s="82"/>
      <c r="I635" s="87"/>
    </row>
    <row r="636">
      <c r="B636" s="87"/>
      <c r="G636" s="81"/>
      <c r="H636" s="82"/>
      <c r="I636" s="87"/>
    </row>
    <row r="637">
      <c r="B637" s="87"/>
      <c r="G637" s="81"/>
      <c r="H637" s="82"/>
      <c r="I637" s="87"/>
    </row>
    <row r="638">
      <c r="B638" s="87"/>
      <c r="G638" s="81"/>
      <c r="H638" s="82"/>
      <c r="I638" s="87"/>
    </row>
    <row r="639">
      <c r="B639" s="87"/>
      <c r="G639" s="81"/>
      <c r="H639" s="82"/>
      <c r="I639" s="87"/>
    </row>
    <row r="640">
      <c r="B640" s="87"/>
      <c r="G640" s="81"/>
      <c r="H640" s="82"/>
      <c r="I640" s="87"/>
    </row>
    <row r="641">
      <c r="B641" s="87"/>
      <c r="G641" s="81"/>
      <c r="H641" s="82"/>
      <c r="I641" s="87"/>
    </row>
    <row r="642">
      <c r="B642" s="87"/>
      <c r="G642" s="81"/>
      <c r="H642" s="82"/>
      <c r="I642" s="87"/>
    </row>
    <row r="643">
      <c r="B643" s="87"/>
      <c r="G643" s="81"/>
      <c r="H643" s="82"/>
      <c r="I643" s="87"/>
    </row>
    <row r="644">
      <c r="B644" s="87"/>
      <c r="G644" s="81"/>
      <c r="H644" s="82"/>
      <c r="I644" s="87"/>
    </row>
    <row r="645">
      <c r="B645" s="87"/>
      <c r="G645" s="81"/>
      <c r="H645" s="82"/>
      <c r="I645" s="87"/>
    </row>
    <row r="646">
      <c r="B646" s="87"/>
      <c r="G646" s="81"/>
      <c r="H646" s="82"/>
      <c r="I646" s="87"/>
    </row>
    <row r="647">
      <c r="B647" s="87"/>
      <c r="G647" s="81"/>
      <c r="H647" s="82"/>
      <c r="I647" s="87"/>
    </row>
    <row r="648">
      <c r="B648" s="87"/>
      <c r="G648" s="81"/>
      <c r="H648" s="82"/>
      <c r="I648" s="87"/>
    </row>
    <row r="649">
      <c r="B649" s="87"/>
      <c r="G649" s="81"/>
      <c r="H649" s="82"/>
      <c r="I649" s="87"/>
    </row>
    <row r="650">
      <c r="B650" s="87"/>
      <c r="G650" s="81"/>
      <c r="H650" s="82"/>
      <c r="I650" s="87"/>
    </row>
    <row r="651">
      <c r="B651" s="87"/>
      <c r="G651" s="81"/>
      <c r="H651" s="82"/>
      <c r="I651" s="87"/>
    </row>
    <row r="652">
      <c r="B652" s="87"/>
      <c r="G652" s="81"/>
      <c r="H652" s="82"/>
      <c r="I652" s="87"/>
    </row>
    <row r="653">
      <c r="B653" s="87"/>
      <c r="G653" s="81"/>
      <c r="H653" s="82"/>
      <c r="I653" s="87"/>
    </row>
    <row r="654">
      <c r="B654" s="87"/>
      <c r="G654" s="81"/>
      <c r="H654" s="82"/>
      <c r="I654" s="87"/>
    </row>
    <row r="655">
      <c r="B655" s="87"/>
      <c r="G655" s="81"/>
      <c r="H655" s="82"/>
      <c r="I655" s="87"/>
    </row>
    <row r="656">
      <c r="B656" s="87"/>
      <c r="G656" s="81"/>
      <c r="H656" s="82"/>
      <c r="I656" s="87"/>
    </row>
    <row r="657">
      <c r="B657" s="87"/>
      <c r="G657" s="81"/>
      <c r="H657" s="82"/>
      <c r="I657" s="87"/>
    </row>
    <row r="658">
      <c r="B658" s="87"/>
      <c r="G658" s="81"/>
      <c r="H658" s="82"/>
      <c r="I658" s="87"/>
    </row>
    <row r="659">
      <c r="B659" s="87"/>
      <c r="G659" s="81"/>
      <c r="H659" s="82"/>
      <c r="I659" s="87"/>
    </row>
    <row r="660">
      <c r="B660" s="87"/>
      <c r="G660" s="81"/>
      <c r="H660" s="82"/>
      <c r="I660" s="87"/>
    </row>
    <row r="661">
      <c r="B661" s="87"/>
      <c r="G661" s="81"/>
      <c r="H661" s="82"/>
      <c r="I661" s="87"/>
    </row>
    <row r="662">
      <c r="B662" s="87"/>
      <c r="G662" s="81"/>
      <c r="H662" s="82"/>
      <c r="I662" s="87"/>
    </row>
    <row r="663">
      <c r="B663" s="87"/>
      <c r="G663" s="81"/>
      <c r="H663" s="82"/>
      <c r="I663" s="87"/>
    </row>
    <row r="664">
      <c r="B664" s="87"/>
      <c r="G664" s="81"/>
      <c r="H664" s="82"/>
      <c r="I664" s="87"/>
    </row>
    <row r="665">
      <c r="B665" s="87"/>
      <c r="G665" s="81"/>
      <c r="H665" s="82"/>
      <c r="I665" s="87"/>
    </row>
    <row r="666">
      <c r="B666" s="87"/>
      <c r="G666" s="81"/>
      <c r="H666" s="82"/>
      <c r="I666" s="87"/>
    </row>
    <row r="667">
      <c r="B667" s="87"/>
      <c r="G667" s="81"/>
      <c r="H667" s="82"/>
      <c r="I667" s="87"/>
    </row>
    <row r="668">
      <c r="B668" s="87"/>
      <c r="G668" s="81"/>
      <c r="H668" s="82"/>
      <c r="I668" s="87"/>
    </row>
    <row r="669">
      <c r="B669" s="87"/>
      <c r="G669" s="81"/>
      <c r="H669" s="82"/>
      <c r="I669" s="87"/>
    </row>
    <row r="670">
      <c r="B670" s="87"/>
      <c r="G670" s="81"/>
      <c r="H670" s="82"/>
      <c r="I670" s="87"/>
    </row>
    <row r="671">
      <c r="B671" s="87"/>
      <c r="G671" s="81"/>
      <c r="H671" s="82"/>
      <c r="I671" s="87"/>
    </row>
    <row r="672">
      <c r="B672" s="87"/>
      <c r="G672" s="81"/>
      <c r="H672" s="82"/>
      <c r="I672" s="87"/>
    </row>
    <row r="673">
      <c r="B673" s="87"/>
      <c r="G673" s="81"/>
      <c r="H673" s="82"/>
      <c r="I673" s="87"/>
    </row>
    <row r="674">
      <c r="B674" s="87"/>
      <c r="G674" s="81"/>
      <c r="H674" s="82"/>
      <c r="I674" s="87"/>
    </row>
    <row r="675">
      <c r="B675" s="87"/>
      <c r="G675" s="81"/>
      <c r="H675" s="82"/>
      <c r="I675" s="87"/>
    </row>
    <row r="676">
      <c r="B676" s="87"/>
      <c r="G676" s="81"/>
      <c r="H676" s="82"/>
      <c r="I676" s="87"/>
    </row>
    <row r="677">
      <c r="B677" s="87"/>
      <c r="G677" s="81"/>
      <c r="H677" s="82"/>
      <c r="I677" s="87"/>
    </row>
    <row r="678">
      <c r="B678" s="87"/>
      <c r="G678" s="81"/>
      <c r="H678" s="82"/>
      <c r="I678" s="87"/>
    </row>
    <row r="679">
      <c r="B679" s="87"/>
      <c r="G679" s="81"/>
      <c r="H679" s="82"/>
      <c r="I679" s="87"/>
    </row>
    <row r="680">
      <c r="B680" s="87"/>
      <c r="G680" s="81"/>
      <c r="H680" s="82"/>
      <c r="I680" s="87"/>
    </row>
    <row r="681">
      <c r="B681" s="87"/>
      <c r="G681" s="81"/>
      <c r="H681" s="82"/>
      <c r="I681" s="87"/>
    </row>
    <row r="682">
      <c r="B682" s="87"/>
      <c r="G682" s="81"/>
      <c r="H682" s="82"/>
      <c r="I682" s="87"/>
    </row>
    <row r="683">
      <c r="B683" s="87"/>
      <c r="G683" s="81"/>
      <c r="H683" s="82"/>
      <c r="I683" s="87"/>
    </row>
    <row r="684">
      <c r="B684" s="87"/>
      <c r="G684" s="81"/>
      <c r="H684" s="82"/>
      <c r="I684" s="87"/>
    </row>
    <row r="685">
      <c r="B685" s="87"/>
      <c r="G685" s="81"/>
      <c r="H685" s="82"/>
      <c r="I685" s="87"/>
    </row>
    <row r="686">
      <c r="B686" s="87"/>
      <c r="G686" s="81"/>
      <c r="H686" s="82"/>
      <c r="I686" s="87"/>
    </row>
    <row r="687">
      <c r="B687" s="87"/>
      <c r="G687" s="81"/>
      <c r="H687" s="82"/>
      <c r="I687" s="87"/>
    </row>
    <row r="688">
      <c r="B688" s="87"/>
      <c r="G688" s="81"/>
      <c r="H688" s="82"/>
      <c r="I688" s="87"/>
    </row>
    <row r="689">
      <c r="B689" s="87"/>
      <c r="G689" s="81"/>
      <c r="H689" s="82"/>
      <c r="I689" s="87"/>
    </row>
    <row r="690">
      <c r="B690" s="87"/>
      <c r="G690" s="81"/>
      <c r="H690" s="82"/>
      <c r="I690" s="87"/>
    </row>
    <row r="691">
      <c r="B691" s="87"/>
      <c r="G691" s="81"/>
      <c r="H691" s="82"/>
      <c r="I691" s="87"/>
    </row>
    <row r="692">
      <c r="B692" s="87"/>
      <c r="G692" s="81"/>
      <c r="H692" s="82"/>
      <c r="I692" s="87"/>
    </row>
    <row r="693">
      <c r="B693" s="87"/>
      <c r="G693" s="81"/>
      <c r="H693" s="82"/>
      <c r="I693" s="87"/>
    </row>
    <row r="694">
      <c r="B694" s="87"/>
      <c r="G694" s="81"/>
      <c r="H694" s="82"/>
      <c r="I694" s="87"/>
    </row>
    <row r="695">
      <c r="B695" s="87"/>
      <c r="G695" s="81"/>
      <c r="H695" s="82"/>
      <c r="I695" s="87"/>
    </row>
    <row r="696">
      <c r="B696" s="87"/>
      <c r="G696" s="81"/>
      <c r="H696" s="82"/>
      <c r="I696" s="87"/>
    </row>
    <row r="697">
      <c r="B697" s="87"/>
      <c r="G697" s="81"/>
      <c r="H697" s="82"/>
      <c r="I697" s="87"/>
    </row>
    <row r="698">
      <c r="B698" s="87"/>
      <c r="G698" s="81"/>
      <c r="H698" s="82"/>
      <c r="I698" s="87"/>
    </row>
    <row r="699">
      <c r="B699" s="87"/>
      <c r="G699" s="81"/>
      <c r="H699" s="82"/>
      <c r="I699" s="87"/>
    </row>
    <row r="700">
      <c r="B700" s="87"/>
      <c r="G700" s="81"/>
      <c r="H700" s="82"/>
      <c r="I700" s="87"/>
    </row>
    <row r="701">
      <c r="B701" s="87"/>
      <c r="G701" s="81"/>
      <c r="H701" s="82"/>
      <c r="I701" s="87"/>
    </row>
    <row r="702">
      <c r="B702" s="87"/>
      <c r="G702" s="81"/>
      <c r="H702" s="82"/>
      <c r="I702" s="87"/>
    </row>
    <row r="703">
      <c r="B703" s="87"/>
      <c r="G703" s="81"/>
      <c r="H703" s="82"/>
      <c r="I703" s="87"/>
    </row>
    <row r="704">
      <c r="B704" s="87"/>
      <c r="G704" s="81"/>
      <c r="H704" s="82"/>
      <c r="I704" s="87"/>
    </row>
    <row r="705">
      <c r="B705" s="87"/>
      <c r="G705" s="81"/>
      <c r="H705" s="82"/>
      <c r="I705" s="87"/>
    </row>
    <row r="706">
      <c r="B706" s="87"/>
      <c r="G706" s="81"/>
      <c r="H706" s="82"/>
      <c r="I706" s="87"/>
    </row>
    <row r="707">
      <c r="B707" s="87"/>
      <c r="G707" s="81"/>
      <c r="H707" s="82"/>
      <c r="I707" s="87"/>
    </row>
    <row r="708">
      <c r="B708" s="87"/>
      <c r="G708" s="81"/>
      <c r="H708" s="82"/>
      <c r="I708" s="87"/>
    </row>
    <row r="709">
      <c r="B709" s="87"/>
      <c r="G709" s="81"/>
      <c r="H709" s="82"/>
      <c r="I709" s="87"/>
    </row>
    <row r="710">
      <c r="B710" s="87"/>
      <c r="G710" s="81"/>
      <c r="H710" s="82"/>
      <c r="I710" s="87"/>
    </row>
    <row r="711">
      <c r="B711" s="87"/>
      <c r="G711" s="81"/>
      <c r="H711" s="82"/>
      <c r="I711" s="87"/>
    </row>
    <row r="712">
      <c r="B712" s="87"/>
      <c r="G712" s="81"/>
      <c r="H712" s="82"/>
      <c r="I712" s="87"/>
    </row>
    <row r="713">
      <c r="B713" s="87"/>
      <c r="G713" s="81"/>
      <c r="H713" s="82"/>
      <c r="I713" s="87"/>
    </row>
    <row r="714">
      <c r="B714" s="87"/>
      <c r="G714" s="81"/>
      <c r="H714" s="82"/>
      <c r="I714" s="87"/>
    </row>
    <row r="715">
      <c r="B715" s="87"/>
      <c r="G715" s="81"/>
      <c r="H715" s="82"/>
      <c r="I715" s="87"/>
    </row>
    <row r="716">
      <c r="B716" s="87"/>
      <c r="G716" s="81"/>
      <c r="H716" s="82"/>
      <c r="I716" s="87"/>
    </row>
    <row r="717">
      <c r="B717" s="87"/>
      <c r="G717" s="81"/>
      <c r="H717" s="82"/>
      <c r="I717" s="87"/>
    </row>
    <row r="718">
      <c r="B718" s="87"/>
      <c r="G718" s="81"/>
      <c r="H718" s="82"/>
      <c r="I718" s="87"/>
    </row>
    <row r="719">
      <c r="B719" s="87"/>
      <c r="G719" s="81"/>
      <c r="H719" s="82"/>
      <c r="I719" s="87"/>
    </row>
    <row r="720">
      <c r="B720" s="87"/>
      <c r="G720" s="81"/>
      <c r="H720" s="82"/>
      <c r="I720" s="87"/>
    </row>
    <row r="721">
      <c r="B721" s="87"/>
      <c r="G721" s="81"/>
      <c r="H721" s="82"/>
      <c r="I721" s="87"/>
    </row>
    <row r="722">
      <c r="B722" s="87"/>
      <c r="G722" s="81"/>
      <c r="H722" s="82"/>
      <c r="I722" s="87"/>
    </row>
    <row r="723">
      <c r="B723" s="87"/>
      <c r="G723" s="81"/>
      <c r="H723" s="82"/>
      <c r="I723" s="87"/>
    </row>
    <row r="724">
      <c r="B724" s="87"/>
      <c r="G724" s="81"/>
      <c r="H724" s="82"/>
      <c r="I724" s="87"/>
    </row>
    <row r="725">
      <c r="B725" s="87"/>
      <c r="G725" s="81"/>
      <c r="H725" s="82"/>
      <c r="I725" s="87"/>
    </row>
    <row r="726">
      <c r="B726" s="87"/>
      <c r="G726" s="81"/>
      <c r="H726" s="82"/>
      <c r="I726" s="87"/>
    </row>
    <row r="727">
      <c r="B727" s="87"/>
      <c r="G727" s="81"/>
      <c r="H727" s="82"/>
      <c r="I727" s="87"/>
    </row>
    <row r="728">
      <c r="B728" s="87"/>
      <c r="G728" s="81"/>
      <c r="H728" s="82"/>
      <c r="I728" s="87"/>
    </row>
    <row r="729">
      <c r="B729" s="87"/>
      <c r="G729" s="81"/>
      <c r="H729" s="82"/>
      <c r="I729" s="87"/>
    </row>
    <row r="730">
      <c r="B730" s="87"/>
      <c r="G730" s="81"/>
      <c r="H730" s="82"/>
      <c r="I730" s="87"/>
    </row>
    <row r="731">
      <c r="B731" s="87"/>
      <c r="G731" s="81"/>
      <c r="H731" s="82"/>
      <c r="I731" s="87"/>
    </row>
    <row r="732">
      <c r="B732" s="87"/>
      <c r="G732" s="81"/>
      <c r="H732" s="82"/>
      <c r="I732" s="87"/>
    </row>
    <row r="733">
      <c r="B733" s="87"/>
      <c r="G733" s="81"/>
      <c r="H733" s="82"/>
      <c r="I733" s="87"/>
    </row>
    <row r="734">
      <c r="B734" s="87"/>
      <c r="G734" s="81"/>
      <c r="H734" s="82"/>
      <c r="I734" s="87"/>
    </row>
    <row r="735">
      <c r="B735" s="87"/>
      <c r="G735" s="81"/>
      <c r="H735" s="82"/>
      <c r="I735" s="87"/>
    </row>
    <row r="736">
      <c r="B736" s="87"/>
      <c r="G736" s="81"/>
      <c r="H736" s="82"/>
      <c r="I736" s="87"/>
    </row>
    <row r="737">
      <c r="B737" s="87"/>
      <c r="G737" s="81"/>
      <c r="H737" s="82"/>
      <c r="I737" s="87"/>
    </row>
    <row r="738">
      <c r="B738" s="87"/>
      <c r="G738" s="81"/>
      <c r="H738" s="82"/>
      <c r="I738" s="87"/>
    </row>
    <row r="739">
      <c r="B739" s="87"/>
      <c r="G739" s="81"/>
      <c r="H739" s="82"/>
      <c r="I739" s="87"/>
    </row>
    <row r="740">
      <c r="B740" s="87"/>
      <c r="G740" s="81"/>
      <c r="H740" s="82"/>
      <c r="I740" s="87"/>
    </row>
    <row r="741">
      <c r="B741" s="87"/>
      <c r="G741" s="81"/>
      <c r="H741" s="82"/>
      <c r="I741" s="87"/>
    </row>
    <row r="742">
      <c r="B742" s="87"/>
      <c r="G742" s="81"/>
      <c r="H742" s="82"/>
      <c r="I742" s="87"/>
    </row>
    <row r="743">
      <c r="B743" s="87"/>
      <c r="G743" s="81"/>
      <c r="H743" s="82"/>
      <c r="I743" s="87"/>
    </row>
    <row r="744">
      <c r="B744" s="87"/>
      <c r="G744" s="81"/>
      <c r="H744" s="82"/>
      <c r="I744" s="87"/>
    </row>
    <row r="745">
      <c r="B745" s="87"/>
      <c r="G745" s="81"/>
      <c r="H745" s="82"/>
      <c r="I745" s="87"/>
    </row>
    <row r="746">
      <c r="B746" s="87"/>
      <c r="G746" s="81"/>
      <c r="H746" s="82"/>
      <c r="I746" s="87"/>
    </row>
    <row r="747">
      <c r="B747" s="87"/>
      <c r="G747" s="81"/>
      <c r="H747" s="82"/>
      <c r="I747" s="87"/>
    </row>
    <row r="748">
      <c r="B748" s="87"/>
      <c r="G748" s="81"/>
      <c r="H748" s="82"/>
      <c r="I748" s="87"/>
    </row>
    <row r="749">
      <c r="B749" s="87"/>
      <c r="G749" s="81"/>
      <c r="H749" s="82"/>
      <c r="I749" s="87"/>
    </row>
    <row r="750">
      <c r="B750" s="87"/>
      <c r="G750" s="81"/>
      <c r="H750" s="82"/>
      <c r="I750" s="87"/>
    </row>
    <row r="751">
      <c r="B751" s="87"/>
      <c r="G751" s="81"/>
      <c r="H751" s="82"/>
      <c r="I751" s="87"/>
    </row>
    <row r="752">
      <c r="B752" s="87"/>
      <c r="G752" s="81"/>
      <c r="H752" s="82"/>
      <c r="I752" s="87"/>
    </row>
    <row r="753">
      <c r="B753" s="87"/>
      <c r="G753" s="81"/>
      <c r="H753" s="82"/>
      <c r="I753" s="87"/>
    </row>
    <row r="754">
      <c r="B754" s="87"/>
      <c r="G754" s="81"/>
      <c r="H754" s="82"/>
      <c r="I754" s="87"/>
    </row>
    <row r="755">
      <c r="B755" s="87"/>
      <c r="G755" s="81"/>
      <c r="H755" s="82"/>
      <c r="I755" s="87"/>
    </row>
    <row r="756">
      <c r="B756" s="87"/>
      <c r="G756" s="81"/>
      <c r="H756" s="82"/>
      <c r="I756" s="87"/>
    </row>
    <row r="757">
      <c r="B757" s="87"/>
      <c r="G757" s="81"/>
      <c r="H757" s="82"/>
      <c r="I757" s="87"/>
    </row>
    <row r="758">
      <c r="B758" s="87"/>
      <c r="G758" s="81"/>
      <c r="H758" s="82"/>
      <c r="I758" s="87"/>
    </row>
    <row r="759">
      <c r="B759" s="87"/>
      <c r="G759" s="81"/>
      <c r="H759" s="82"/>
      <c r="I759" s="87"/>
    </row>
    <row r="760">
      <c r="B760" s="87"/>
      <c r="G760" s="81"/>
      <c r="H760" s="82"/>
      <c r="I760" s="87"/>
    </row>
    <row r="761">
      <c r="B761" s="87"/>
      <c r="G761" s="81"/>
      <c r="H761" s="82"/>
      <c r="I761" s="87"/>
    </row>
    <row r="762">
      <c r="B762" s="87"/>
      <c r="G762" s="81"/>
      <c r="H762" s="82"/>
      <c r="I762" s="87"/>
    </row>
    <row r="763">
      <c r="B763" s="87"/>
      <c r="G763" s="81"/>
      <c r="H763" s="82"/>
      <c r="I763" s="87"/>
    </row>
    <row r="764">
      <c r="B764" s="87"/>
      <c r="G764" s="81"/>
      <c r="H764" s="82"/>
      <c r="I764" s="87"/>
    </row>
    <row r="765">
      <c r="B765" s="87"/>
      <c r="G765" s="81"/>
      <c r="H765" s="82"/>
      <c r="I765" s="87"/>
    </row>
    <row r="766">
      <c r="B766" s="87"/>
      <c r="G766" s="81"/>
      <c r="H766" s="82"/>
      <c r="I766" s="87"/>
    </row>
    <row r="767">
      <c r="B767" s="87"/>
      <c r="G767" s="81"/>
      <c r="H767" s="82"/>
      <c r="I767" s="87"/>
    </row>
    <row r="768">
      <c r="B768" s="87"/>
      <c r="G768" s="81"/>
      <c r="H768" s="82"/>
      <c r="I768" s="87"/>
    </row>
    <row r="769">
      <c r="B769" s="87"/>
      <c r="G769" s="81"/>
      <c r="H769" s="82"/>
      <c r="I769" s="87"/>
    </row>
    <row r="770">
      <c r="B770" s="87"/>
      <c r="G770" s="81"/>
      <c r="H770" s="82"/>
      <c r="I770" s="87"/>
    </row>
    <row r="771">
      <c r="B771" s="87"/>
      <c r="G771" s="81"/>
      <c r="H771" s="82"/>
      <c r="I771" s="87"/>
    </row>
    <row r="772">
      <c r="B772" s="87"/>
      <c r="G772" s="81"/>
      <c r="H772" s="82"/>
      <c r="I772" s="87"/>
    </row>
    <row r="773">
      <c r="B773" s="87"/>
      <c r="G773" s="81"/>
      <c r="H773" s="82"/>
      <c r="I773" s="87"/>
    </row>
    <row r="774">
      <c r="B774" s="87"/>
      <c r="G774" s="81"/>
      <c r="H774" s="82"/>
      <c r="I774" s="87"/>
    </row>
    <row r="775">
      <c r="B775" s="87"/>
      <c r="G775" s="81"/>
      <c r="H775" s="82"/>
      <c r="I775" s="87"/>
    </row>
    <row r="776">
      <c r="B776" s="87"/>
      <c r="G776" s="81"/>
      <c r="H776" s="82"/>
      <c r="I776" s="87"/>
    </row>
    <row r="777">
      <c r="B777" s="87"/>
      <c r="G777" s="81"/>
      <c r="H777" s="82"/>
      <c r="I777" s="87"/>
    </row>
    <row r="778">
      <c r="B778" s="87"/>
      <c r="G778" s="81"/>
      <c r="H778" s="82"/>
      <c r="I778" s="87"/>
    </row>
    <row r="779">
      <c r="B779" s="87"/>
      <c r="G779" s="81"/>
      <c r="H779" s="82"/>
      <c r="I779" s="87"/>
    </row>
    <row r="780">
      <c r="B780" s="87"/>
      <c r="G780" s="81"/>
      <c r="H780" s="82"/>
      <c r="I780" s="87"/>
    </row>
    <row r="781">
      <c r="B781" s="87"/>
      <c r="G781" s="81"/>
      <c r="H781" s="82"/>
      <c r="I781" s="87"/>
    </row>
    <row r="782">
      <c r="B782" s="87"/>
      <c r="G782" s="81"/>
      <c r="H782" s="82"/>
      <c r="I782" s="87"/>
    </row>
    <row r="783">
      <c r="B783" s="87"/>
      <c r="G783" s="81"/>
      <c r="H783" s="82"/>
      <c r="I783" s="87"/>
    </row>
    <row r="784">
      <c r="B784" s="87"/>
      <c r="G784" s="81"/>
      <c r="H784" s="82"/>
      <c r="I784" s="87"/>
    </row>
    <row r="785">
      <c r="B785" s="87"/>
      <c r="G785" s="81"/>
      <c r="H785" s="82"/>
      <c r="I785" s="87"/>
    </row>
    <row r="786">
      <c r="B786" s="87"/>
      <c r="G786" s="81"/>
      <c r="H786" s="82"/>
      <c r="I786" s="87"/>
    </row>
    <row r="787">
      <c r="B787" s="87"/>
      <c r="G787" s="81"/>
      <c r="H787" s="82"/>
      <c r="I787" s="87"/>
    </row>
    <row r="788">
      <c r="B788" s="87"/>
      <c r="G788" s="81"/>
      <c r="H788" s="82"/>
      <c r="I788" s="87"/>
    </row>
    <row r="789">
      <c r="B789" s="87"/>
      <c r="G789" s="81"/>
      <c r="H789" s="82"/>
      <c r="I789" s="87"/>
    </row>
    <row r="790">
      <c r="B790" s="87"/>
      <c r="G790" s="81"/>
      <c r="H790" s="82"/>
      <c r="I790" s="87"/>
    </row>
    <row r="791">
      <c r="B791" s="87"/>
      <c r="G791" s="81"/>
      <c r="H791" s="82"/>
      <c r="I791" s="87"/>
    </row>
    <row r="792">
      <c r="B792" s="87"/>
      <c r="G792" s="81"/>
      <c r="H792" s="82"/>
      <c r="I792" s="87"/>
    </row>
    <row r="793">
      <c r="B793" s="87"/>
      <c r="G793" s="81"/>
      <c r="H793" s="82"/>
      <c r="I793" s="87"/>
    </row>
    <row r="794">
      <c r="B794" s="87"/>
      <c r="G794" s="81"/>
      <c r="H794" s="82"/>
      <c r="I794" s="87"/>
    </row>
    <row r="795">
      <c r="B795" s="87"/>
      <c r="G795" s="81"/>
      <c r="H795" s="82"/>
      <c r="I795" s="87"/>
    </row>
    <row r="796">
      <c r="B796" s="87"/>
      <c r="G796" s="81"/>
      <c r="H796" s="82"/>
      <c r="I796" s="87"/>
    </row>
    <row r="797">
      <c r="B797" s="87"/>
      <c r="G797" s="81"/>
      <c r="H797" s="82"/>
      <c r="I797" s="87"/>
    </row>
    <row r="798">
      <c r="B798" s="87"/>
      <c r="G798" s="81"/>
      <c r="H798" s="82"/>
      <c r="I798" s="87"/>
    </row>
    <row r="799">
      <c r="B799" s="87"/>
      <c r="G799" s="81"/>
      <c r="H799" s="82"/>
      <c r="I799" s="87"/>
    </row>
    <row r="800">
      <c r="B800" s="87"/>
      <c r="G800" s="81"/>
      <c r="H800" s="82"/>
      <c r="I800" s="87"/>
    </row>
    <row r="801">
      <c r="B801" s="87"/>
      <c r="G801" s="81"/>
      <c r="H801" s="82"/>
      <c r="I801" s="87"/>
    </row>
    <row r="802">
      <c r="B802" s="87"/>
      <c r="G802" s="81"/>
      <c r="H802" s="82"/>
      <c r="I802" s="87"/>
    </row>
    <row r="803">
      <c r="B803" s="87"/>
      <c r="G803" s="81"/>
      <c r="H803" s="82"/>
      <c r="I803" s="87"/>
    </row>
    <row r="804">
      <c r="B804" s="87"/>
      <c r="G804" s="81"/>
      <c r="H804" s="82"/>
      <c r="I804" s="87"/>
    </row>
    <row r="805">
      <c r="B805" s="87"/>
      <c r="G805" s="81"/>
      <c r="H805" s="82"/>
      <c r="I805" s="87"/>
    </row>
    <row r="806">
      <c r="B806" s="87"/>
      <c r="G806" s="81"/>
      <c r="H806" s="82"/>
      <c r="I806" s="87"/>
    </row>
    <row r="807">
      <c r="B807" s="87"/>
      <c r="G807" s="81"/>
      <c r="H807" s="82"/>
      <c r="I807" s="87"/>
    </row>
    <row r="808">
      <c r="B808" s="87"/>
      <c r="G808" s="81"/>
      <c r="H808" s="82"/>
      <c r="I808" s="87"/>
    </row>
    <row r="809">
      <c r="B809" s="87"/>
      <c r="G809" s="81"/>
      <c r="H809" s="82"/>
      <c r="I809" s="87"/>
    </row>
    <row r="810">
      <c r="B810" s="87"/>
      <c r="G810" s="81"/>
      <c r="H810" s="82"/>
      <c r="I810" s="87"/>
    </row>
    <row r="811">
      <c r="B811" s="87"/>
      <c r="G811" s="81"/>
      <c r="H811" s="82"/>
      <c r="I811" s="87"/>
    </row>
    <row r="812">
      <c r="B812" s="87"/>
      <c r="G812" s="81"/>
      <c r="H812" s="82"/>
      <c r="I812" s="87"/>
    </row>
    <row r="813">
      <c r="B813" s="87"/>
      <c r="G813" s="81"/>
      <c r="H813" s="82"/>
      <c r="I813" s="87"/>
    </row>
    <row r="814">
      <c r="B814" s="87"/>
      <c r="G814" s="81"/>
      <c r="H814" s="82"/>
      <c r="I814" s="87"/>
    </row>
    <row r="815">
      <c r="B815" s="87"/>
      <c r="G815" s="81"/>
      <c r="H815" s="82"/>
      <c r="I815" s="87"/>
    </row>
    <row r="816">
      <c r="B816" s="87"/>
      <c r="G816" s="81"/>
      <c r="H816" s="82"/>
      <c r="I816" s="87"/>
    </row>
    <row r="817">
      <c r="B817" s="87"/>
      <c r="G817" s="81"/>
      <c r="H817" s="82"/>
      <c r="I817" s="87"/>
    </row>
    <row r="818">
      <c r="B818" s="87"/>
      <c r="G818" s="81"/>
      <c r="H818" s="82"/>
      <c r="I818" s="87"/>
    </row>
    <row r="819">
      <c r="B819" s="87"/>
      <c r="G819" s="81"/>
      <c r="H819" s="82"/>
      <c r="I819" s="87"/>
    </row>
    <row r="820">
      <c r="B820" s="87"/>
      <c r="G820" s="81"/>
      <c r="H820" s="82"/>
      <c r="I820" s="87"/>
    </row>
    <row r="821">
      <c r="B821" s="87"/>
      <c r="G821" s="81"/>
      <c r="H821" s="82"/>
      <c r="I821" s="87"/>
    </row>
    <row r="822">
      <c r="B822" s="87"/>
      <c r="G822" s="81"/>
      <c r="H822" s="82"/>
      <c r="I822" s="87"/>
    </row>
    <row r="823">
      <c r="B823" s="87"/>
      <c r="G823" s="81"/>
      <c r="H823" s="82"/>
      <c r="I823" s="87"/>
    </row>
    <row r="824">
      <c r="B824" s="87"/>
      <c r="G824" s="81"/>
      <c r="H824" s="82"/>
      <c r="I824" s="87"/>
    </row>
    <row r="825">
      <c r="B825" s="87"/>
      <c r="G825" s="81"/>
      <c r="H825" s="82"/>
      <c r="I825" s="87"/>
    </row>
    <row r="826">
      <c r="B826" s="87"/>
      <c r="G826" s="81"/>
      <c r="H826" s="82"/>
      <c r="I826" s="87"/>
    </row>
    <row r="827">
      <c r="B827" s="87"/>
      <c r="G827" s="81"/>
      <c r="H827" s="82"/>
      <c r="I827" s="87"/>
    </row>
    <row r="828">
      <c r="B828" s="87"/>
      <c r="G828" s="81"/>
      <c r="H828" s="82"/>
      <c r="I828" s="87"/>
    </row>
    <row r="829">
      <c r="B829" s="87"/>
      <c r="G829" s="81"/>
      <c r="H829" s="82"/>
      <c r="I829" s="87"/>
    </row>
    <row r="830">
      <c r="B830" s="87"/>
      <c r="G830" s="81"/>
      <c r="H830" s="82"/>
      <c r="I830" s="87"/>
    </row>
    <row r="831">
      <c r="B831" s="87"/>
      <c r="G831" s="81"/>
      <c r="H831" s="82"/>
      <c r="I831" s="87"/>
    </row>
    <row r="832">
      <c r="B832" s="87"/>
      <c r="G832" s="81"/>
      <c r="H832" s="82"/>
      <c r="I832" s="87"/>
    </row>
    <row r="833">
      <c r="B833" s="87"/>
      <c r="G833" s="81"/>
      <c r="H833" s="82"/>
      <c r="I833" s="87"/>
    </row>
    <row r="834">
      <c r="B834" s="87"/>
      <c r="G834" s="81"/>
      <c r="H834" s="82"/>
      <c r="I834" s="87"/>
    </row>
    <row r="835">
      <c r="B835" s="87"/>
      <c r="G835" s="81"/>
      <c r="H835" s="82"/>
      <c r="I835" s="87"/>
    </row>
    <row r="836">
      <c r="B836" s="87"/>
      <c r="G836" s="81"/>
      <c r="H836" s="82"/>
      <c r="I836" s="87"/>
    </row>
    <row r="837">
      <c r="B837" s="87"/>
      <c r="G837" s="81"/>
      <c r="H837" s="82"/>
      <c r="I837" s="87"/>
    </row>
    <row r="838">
      <c r="B838" s="87"/>
      <c r="G838" s="81"/>
      <c r="H838" s="82"/>
      <c r="I838" s="87"/>
    </row>
    <row r="839">
      <c r="B839" s="87"/>
      <c r="G839" s="81"/>
      <c r="H839" s="82"/>
      <c r="I839" s="87"/>
    </row>
    <row r="840">
      <c r="B840" s="87"/>
      <c r="G840" s="81"/>
      <c r="H840" s="82"/>
      <c r="I840" s="87"/>
    </row>
    <row r="841">
      <c r="B841" s="87"/>
      <c r="G841" s="81"/>
      <c r="H841" s="82"/>
      <c r="I841" s="87"/>
    </row>
    <row r="842">
      <c r="B842" s="87"/>
      <c r="G842" s="81"/>
      <c r="H842" s="82"/>
      <c r="I842" s="87"/>
    </row>
    <row r="843">
      <c r="B843" s="87"/>
      <c r="G843" s="81"/>
      <c r="H843" s="82"/>
      <c r="I843" s="87"/>
    </row>
    <row r="844">
      <c r="B844" s="87"/>
      <c r="G844" s="81"/>
      <c r="H844" s="82"/>
      <c r="I844" s="87"/>
    </row>
    <row r="845">
      <c r="B845" s="87"/>
      <c r="G845" s="81"/>
      <c r="H845" s="82"/>
      <c r="I845" s="87"/>
    </row>
    <row r="846">
      <c r="B846" s="87"/>
      <c r="G846" s="81"/>
      <c r="H846" s="82"/>
      <c r="I846" s="87"/>
    </row>
    <row r="847">
      <c r="B847" s="87"/>
      <c r="G847" s="81"/>
      <c r="H847" s="82"/>
      <c r="I847" s="87"/>
    </row>
    <row r="848">
      <c r="B848" s="87"/>
      <c r="G848" s="81"/>
      <c r="H848" s="82"/>
      <c r="I848" s="87"/>
    </row>
    <row r="849">
      <c r="B849" s="87"/>
      <c r="G849" s="81"/>
      <c r="H849" s="82"/>
      <c r="I849" s="87"/>
    </row>
    <row r="850">
      <c r="B850" s="87"/>
      <c r="G850" s="81"/>
      <c r="H850" s="82"/>
      <c r="I850" s="87"/>
    </row>
    <row r="851">
      <c r="B851" s="87"/>
      <c r="G851" s="81"/>
      <c r="H851" s="82"/>
      <c r="I851" s="87"/>
    </row>
    <row r="852">
      <c r="B852" s="87"/>
      <c r="G852" s="81"/>
      <c r="H852" s="82"/>
      <c r="I852" s="87"/>
    </row>
    <row r="853">
      <c r="B853" s="87"/>
      <c r="G853" s="81"/>
      <c r="H853" s="82"/>
      <c r="I853" s="87"/>
    </row>
    <row r="854">
      <c r="B854" s="87"/>
      <c r="G854" s="81"/>
      <c r="H854" s="82"/>
      <c r="I854" s="87"/>
    </row>
    <row r="855">
      <c r="B855" s="87"/>
      <c r="G855" s="81"/>
      <c r="H855" s="82"/>
      <c r="I855" s="87"/>
    </row>
    <row r="856">
      <c r="B856" s="87"/>
      <c r="G856" s="81"/>
      <c r="H856" s="82"/>
      <c r="I856" s="87"/>
    </row>
    <row r="857">
      <c r="B857" s="87"/>
      <c r="G857" s="81"/>
      <c r="H857" s="82"/>
      <c r="I857" s="87"/>
    </row>
    <row r="858">
      <c r="B858" s="87"/>
      <c r="G858" s="81"/>
      <c r="H858" s="82"/>
      <c r="I858" s="87"/>
    </row>
    <row r="859">
      <c r="B859" s="87"/>
      <c r="G859" s="81"/>
      <c r="H859" s="82"/>
      <c r="I859" s="87"/>
    </row>
    <row r="860">
      <c r="B860" s="87"/>
      <c r="G860" s="81"/>
      <c r="H860" s="82"/>
      <c r="I860" s="87"/>
    </row>
    <row r="861">
      <c r="B861" s="87"/>
      <c r="G861" s="81"/>
      <c r="H861" s="82"/>
      <c r="I861" s="87"/>
    </row>
    <row r="862">
      <c r="B862" s="87"/>
      <c r="G862" s="81"/>
      <c r="H862" s="82"/>
      <c r="I862" s="87"/>
    </row>
    <row r="863">
      <c r="B863" s="87"/>
      <c r="G863" s="81"/>
      <c r="H863" s="82"/>
      <c r="I863" s="87"/>
    </row>
    <row r="864">
      <c r="B864" s="87"/>
      <c r="G864" s="81"/>
      <c r="H864" s="82"/>
      <c r="I864" s="87"/>
    </row>
    <row r="865">
      <c r="B865" s="87"/>
      <c r="G865" s="81"/>
      <c r="H865" s="82"/>
      <c r="I865" s="87"/>
    </row>
    <row r="866">
      <c r="B866" s="87"/>
      <c r="G866" s="81"/>
      <c r="H866" s="82"/>
      <c r="I866" s="87"/>
    </row>
    <row r="867">
      <c r="B867" s="87"/>
      <c r="G867" s="81"/>
      <c r="H867" s="82"/>
      <c r="I867" s="87"/>
    </row>
    <row r="868">
      <c r="B868" s="87"/>
      <c r="G868" s="81"/>
      <c r="H868" s="82"/>
      <c r="I868" s="87"/>
    </row>
    <row r="869">
      <c r="B869" s="87"/>
      <c r="G869" s="81"/>
      <c r="H869" s="82"/>
      <c r="I869" s="87"/>
    </row>
    <row r="870">
      <c r="B870" s="87"/>
      <c r="G870" s="81"/>
      <c r="H870" s="82"/>
      <c r="I870" s="87"/>
    </row>
    <row r="871">
      <c r="B871" s="87"/>
      <c r="G871" s="81"/>
      <c r="H871" s="82"/>
      <c r="I871" s="87"/>
    </row>
    <row r="872">
      <c r="B872" s="87"/>
      <c r="G872" s="81"/>
      <c r="H872" s="82"/>
      <c r="I872" s="87"/>
    </row>
    <row r="873">
      <c r="B873" s="87"/>
      <c r="G873" s="81"/>
      <c r="H873" s="82"/>
      <c r="I873" s="87"/>
    </row>
    <row r="874">
      <c r="B874" s="87"/>
      <c r="G874" s="81"/>
      <c r="H874" s="82"/>
      <c r="I874" s="87"/>
    </row>
    <row r="875">
      <c r="B875" s="87"/>
      <c r="G875" s="81"/>
      <c r="H875" s="82"/>
      <c r="I875" s="87"/>
    </row>
    <row r="876">
      <c r="B876" s="87"/>
      <c r="G876" s="81"/>
      <c r="H876" s="82"/>
      <c r="I876" s="87"/>
    </row>
    <row r="877">
      <c r="B877" s="87"/>
      <c r="G877" s="81"/>
      <c r="H877" s="82"/>
      <c r="I877" s="87"/>
    </row>
    <row r="878">
      <c r="B878" s="87"/>
      <c r="G878" s="81"/>
      <c r="H878" s="82"/>
      <c r="I878" s="87"/>
    </row>
    <row r="879">
      <c r="B879" s="87"/>
      <c r="G879" s="81"/>
      <c r="H879" s="82"/>
      <c r="I879" s="87"/>
    </row>
    <row r="880">
      <c r="B880" s="87"/>
      <c r="G880" s="81"/>
      <c r="H880" s="82"/>
      <c r="I880" s="87"/>
    </row>
    <row r="881">
      <c r="B881" s="87"/>
      <c r="G881" s="81"/>
      <c r="H881" s="82"/>
      <c r="I881" s="87"/>
    </row>
    <row r="882">
      <c r="B882" s="87"/>
      <c r="G882" s="81"/>
      <c r="H882" s="82"/>
      <c r="I882" s="87"/>
    </row>
    <row r="883">
      <c r="B883" s="87"/>
      <c r="G883" s="81"/>
      <c r="H883" s="82"/>
      <c r="I883" s="87"/>
    </row>
    <row r="884">
      <c r="B884" s="87"/>
      <c r="G884" s="81"/>
      <c r="H884" s="82"/>
      <c r="I884" s="87"/>
    </row>
    <row r="885">
      <c r="B885" s="87"/>
      <c r="G885" s="81"/>
      <c r="H885" s="82"/>
      <c r="I885" s="87"/>
    </row>
    <row r="886">
      <c r="B886" s="87"/>
      <c r="G886" s="81"/>
      <c r="H886" s="82"/>
      <c r="I886" s="87"/>
    </row>
    <row r="887">
      <c r="B887" s="87"/>
      <c r="G887" s="81"/>
      <c r="H887" s="82"/>
      <c r="I887" s="87"/>
    </row>
    <row r="888">
      <c r="B888" s="87"/>
      <c r="G888" s="81"/>
      <c r="H888" s="82"/>
      <c r="I888" s="87"/>
    </row>
    <row r="889">
      <c r="B889" s="87"/>
      <c r="G889" s="81"/>
      <c r="H889" s="82"/>
      <c r="I889" s="87"/>
    </row>
    <row r="890">
      <c r="B890" s="87"/>
      <c r="G890" s="81"/>
      <c r="H890" s="82"/>
      <c r="I890" s="87"/>
    </row>
    <row r="891">
      <c r="B891" s="87"/>
      <c r="G891" s="81"/>
      <c r="H891" s="82"/>
      <c r="I891" s="87"/>
    </row>
    <row r="892">
      <c r="B892" s="87"/>
      <c r="G892" s="81"/>
      <c r="H892" s="82"/>
      <c r="I892" s="87"/>
    </row>
    <row r="893">
      <c r="B893" s="87"/>
      <c r="G893" s="81"/>
      <c r="H893" s="82"/>
      <c r="I893" s="87"/>
    </row>
    <row r="894">
      <c r="B894" s="87"/>
      <c r="G894" s="81"/>
      <c r="H894" s="82"/>
      <c r="I894" s="87"/>
    </row>
    <row r="895">
      <c r="B895" s="87"/>
      <c r="G895" s="81"/>
      <c r="H895" s="82"/>
      <c r="I895" s="87"/>
    </row>
    <row r="896">
      <c r="B896" s="87"/>
      <c r="G896" s="81"/>
      <c r="H896" s="82"/>
      <c r="I896" s="87"/>
    </row>
    <row r="897">
      <c r="B897" s="87"/>
      <c r="G897" s="81"/>
      <c r="H897" s="82"/>
      <c r="I897" s="87"/>
    </row>
    <row r="898">
      <c r="B898" s="87"/>
      <c r="G898" s="81"/>
      <c r="H898" s="82"/>
      <c r="I898" s="87"/>
    </row>
    <row r="899">
      <c r="B899" s="87"/>
      <c r="G899" s="81"/>
      <c r="H899" s="82"/>
      <c r="I899" s="87"/>
    </row>
    <row r="900">
      <c r="B900" s="87"/>
      <c r="G900" s="81"/>
      <c r="H900" s="82"/>
      <c r="I900" s="87"/>
    </row>
    <row r="901">
      <c r="B901" s="87"/>
      <c r="G901" s="81"/>
      <c r="H901" s="82"/>
      <c r="I901" s="87"/>
    </row>
    <row r="902">
      <c r="B902" s="87"/>
      <c r="G902" s="81"/>
      <c r="H902" s="82"/>
      <c r="I902" s="87"/>
    </row>
    <row r="903">
      <c r="B903" s="87"/>
      <c r="G903" s="81"/>
      <c r="H903" s="82"/>
      <c r="I903" s="87"/>
    </row>
    <row r="904">
      <c r="B904" s="87"/>
      <c r="G904" s="81"/>
      <c r="H904" s="82"/>
      <c r="I904" s="87"/>
    </row>
    <row r="905">
      <c r="B905" s="87"/>
      <c r="G905" s="81"/>
      <c r="H905" s="82"/>
      <c r="I905" s="87"/>
    </row>
    <row r="906">
      <c r="B906" s="87"/>
      <c r="G906" s="81"/>
      <c r="H906" s="82"/>
      <c r="I906" s="87"/>
    </row>
    <row r="907">
      <c r="B907" s="87"/>
      <c r="G907" s="81"/>
      <c r="H907" s="82"/>
      <c r="I907" s="87"/>
    </row>
    <row r="908">
      <c r="B908" s="87"/>
      <c r="G908" s="81"/>
      <c r="H908" s="82"/>
      <c r="I908" s="87"/>
    </row>
    <row r="909">
      <c r="B909" s="87"/>
      <c r="G909" s="81"/>
      <c r="H909" s="82"/>
      <c r="I909" s="87"/>
    </row>
    <row r="910">
      <c r="B910" s="87"/>
      <c r="G910" s="81"/>
      <c r="H910" s="82"/>
      <c r="I910" s="87"/>
    </row>
    <row r="911">
      <c r="B911" s="87"/>
      <c r="G911" s="81"/>
      <c r="H911" s="82"/>
      <c r="I911" s="87"/>
    </row>
    <row r="912">
      <c r="B912" s="87"/>
      <c r="G912" s="81"/>
      <c r="H912" s="82"/>
      <c r="I912" s="87"/>
    </row>
    <row r="913">
      <c r="B913" s="87"/>
      <c r="G913" s="81"/>
      <c r="H913" s="82"/>
      <c r="I913" s="87"/>
    </row>
    <row r="914">
      <c r="B914" s="87"/>
      <c r="G914" s="81"/>
      <c r="H914" s="82"/>
      <c r="I914" s="87"/>
    </row>
    <row r="915">
      <c r="B915" s="87"/>
      <c r="G915" s="81"/>
      <c r="H915" s="82"/>
      <c r="I915" s="87"/>
    </row>
    <row r="916">
      <c r="B916" s="87"/>
      <c r="G916" s="81"/>
      <c r="H916" s="82"/>
      <c r="I916" s="87"/>
    </row>
    <row r="917">
      <c r="B917" s="87"/>
      <c r="G917" s="81"/>
      <c r="H917" s="82"/>
      <c r="I917" s="87"/>
    </row>
    <row r="918">
      <c r="B918" s="87"/>
      <c r="G918" s="81"/>
      <c r="H918" s="82"/>
      <c r="I918" s="87"/>
    </row>
    <row r="919">
      <c r="B919" s="87"/>
      <c r="G919" s="81"/>
      <c r="H919" s="82"/>
      <c r="I919" s="87"/>
    </row>
    <row r="920">
      <c r="B920" s="87"/>
      <c r="G920" s="81"/>
      <c r="H920" s="82"/>
      <c r="I920" s="87"/>
    </row>
    <row r="921">
      <c r="B921" s="87"/>
      <c r="G921" s="81"/>
      <c r="H921" s="82"/>
      <c r="I921" s="87"/>
    </row>
    <row r="922">
      <c r="B922" s="87"/>
      <c r="G922" s="81"/>
      <c r="H922" s="82"/>
      <c r="I922" s="87"/>
    </row>
    <row r="923">
      <c r="B923" s="87"/>
      <c r="G923" s="81"/>
      <c r="H923" s="82"/>
      <c r="I923" s="87"/>
    </row>
    <row r="924">
      <c r="B924" s="87"/>
      <c r="G924" s="81"/>
      <c r="H924" s="82"/>
      <c r="I924" s="87"/>
    </row>
    <row r="925">
      <c r="B925" s="87"/>
      <c r="G925" s="81"/>
      <c r="H925" s="82"/>
      <c r="I925" s="87"/>
    </row>
    <row r="926">
      <c r="B926" s="87"/>
      <c r="G926" s="81"/>
      <c r="H926" s="82"/>
      <c r="I926" s="87"/>
    </row>
    <row r="927">
      <c r="B927" s="87"/>
      <c r="G927" s="81"/>
      <c r="H927" s="82"/>
      <c r="I927" s="87"/>
    </row>
    <row r="928">
      <c r="B928" s="87"/>
      <c r="G928" s="81"/>
      <c r="H928" s="82"/>
      <c r="I928" s="87"/>
    </row>
    <row r="929">
      <c r="B929" s="87"/>
      <c r="G929" s="81"/>
      <c r="H929" s="82"/>
      <c r="I929" s="87"/>
    </row>
    <row r="930">
      <c r="B930" s="87"/>
      <c r="G930" s="81"/>
      <c r="H930" s="82"/>
      <c r="I930" s="87"/>
    </row>
    <row r="931">
      <c r="B931" s="87"/>
      <c r="G931" s="81"/>
      <c r="H931" s="82"/>
      <c r="I931" s="87"/>
    </row>
    <row r="932">
      <c r="B932" s="87"/>
      <c r="G932" s="81"/>
      <c r="H932" s="82"/>
      <c r="I932" s="87"/>
    </row>
    <row r="933">
      <c r="B933" s="87"/>
      <c r="G933" s="81"/>
      <c r="H933" s="82"/>
      <c r="I933" s="87"/>
    </row>
    <row r="934">
      <c r="B934" s="87"/>
      <c r="G934" s="81"/>
      <c r="H934" s="82"/>
      <c r="I934" s="87"/>
    </row>
    <row r="935">
      <c r="B935" s="87"/>
      <c r="G935" s="81"/>
      <c r="H935" s="82"/>
      <c r="I935" s="87"/>
    </row>
    <row r="936">
      <c r="B936" s="87"/>
      <c r="G936" s="81"/>
      <c r="H936" s="82"/>
      <c r="I936" s="87"/>
    </row>
    <row r="937">
      <c r="B937" s="87"/>
      <c r="G937" s="81"/>
      <c r="H937" s="82"/>
      <c r="I937" s="87"/>
    </row>
    <row r="938">
      <c r="B938" s="87"/>
      <c r="G938" s="81"/>
      <c r="H938" s="82"/>
      <c r="I938" s="87"/>
    </row>
    <row r="939">
      <c r="B939" s="87"/>
      <c r="G939" s="81"/>
      <c r="H939" s="82"/>
      <c r="I939" s="87"/>
    </row>
    <row r="940">
      <c r="B940" s="87"/>
      <c r="G940" s="81"/>
      <c r="H940" s="82"/>
      <c r="I940" s="87"/>
    </row>
    <row r="941">
      <c r="B941" s="87"/>
      <c r="G941" s="81"/>
      <c r="H941" s="82"/>
      <c r="I941" s="87"/>
    </row>
    <row r="942">
      <c r="B942" s="87"/>
      <c r="G942" s="81"/>
      <c r="H942" s="82"/>
      <c r="I942" s="87"/>
    </row>
    <row r="943">
      <c r="B943" s="87"/>
      <c r="G943" s="81"/>
      <c r="H943" s="82"/>
      <c r="I943" s="87"/>
    </row>
    <row r="944">
      <c r="B944" s="87"/>
      <c r="G944" s="81"/>
      <c r="H944" s="82"/>
      <c r="I944" s="87"/>
    </row>
    <row r="945">
      <c r="B945" s="87"/>
      <c r="G945" s="81"/>
      <c r="H945" s="82"/>
      <c r="I945" s="87"/>
    </row>
    <row r="946">
      <c r="B946" s="87"/>
      <c r="G946" s="81"/>
      <c r="H946" s="82"/>
      <c r="I946" s="87"/>
    </row>
    <row r="947">
      <c r="B947" s="87"/>
      <c r="G947" s="81"/>
      <c r="H947" s="82"/>
      <c r="I947" s="87"/>
    </row>
    <row r="948">
      <c r="B948" s="87"/>
      <c r="G948" s="81"/>
      <c r="H948" s="82"/>
      <c r="I948" s="87"/>
    </row>
    <row r="949">
      <c r="B949" s="87"/>
      <c r="G949" s="81"/>
      <c r="H949" s="82"/>
      <c r="I949" s="87"/>
    </row>
    <row r="950">
      <c r="B950" s="87"/>
      <c r="G950" s="81"/>
      <c r="H950" s="82"/>
      <c r="I950" s="87"/>
    </row>
    <row r="951">
      <c r="B951" s="87"/>
      <c r="G951" s="81"/>
      <c r="H951" s="82"/>
      <c r="I951" s="87"/>
    </row>
    <row r="952">
      <c r="B952" s="87"/>
      <c r="G952" s="81"/>
      <c r="H952" s="82"/>
      <c r="I952" s="87"/>
    </row>
    <row r="953">
      <c r="B953" s="87"/>
      <c r="G953" s="81"/>
      <c r="H953" s="82"/>
      <c r="I953" s="87"/>
    </row>
    <row r="954">
      <c r="B954" s="87"/>
      <c r="G954" s="81"/>
      <c r="H954" s="82"/>
      <c r="I954" s="87"/>
    </row>
    <row r="955">
      <c r="B955" s="87"/>
      <c r="G955" s="81"/>
      <c r="H955" s="82"/>
      <c r="I955" s="87"/>
    </row>
    <row r="956">
      <c r="B956" s="87"/>
      <c r="G956" s="81"/>
      <c r="H956" s="82"/>
      <c r="I956" s="87"/>
    </row>
    <row r="957">
      <c r="B957" s="87"/>
      <c r="G957" s="81"/>
      <c r="H957" s="82"/>
      <c r="I957" s="87"/>
    </row>
    <row r="958">
      <c r="B958" s="87"/>
      <c r="G958" s="81"/>
      <c r="H958" s="82"/>
      <c r="I958" s="87"/>
    </row>
    <row r="959">
      <c r="B959" s="87"/>
      <c r="G959" s="81"/>
      <c r="H959" s="82"/>
      <c r="I959" s="87"/>
    </row>
    <row r="960">
      <c r="B960" s="87"/>
      <c r="G960" s="81"/>
      <c r="H960" s="82"/>
      <c r="I960" s="87"/>
    </row>
    <row r="961">
      <c r="B961" s="87"/>
      <c r="G961" s="81"/>
      <c r="H961" s="82"/>
      <c r="I961" s="87"/>
    </row>
    <row r="962">
      <c r="B962" s="87"/>
      <c r="G962" s="81"/>
      <c r="H962" s="82"/>
      <c r="I962" s="87"/>
    </row>
    <row r="963">
      <c r="B963" s="87"/>
      <c r="G963" s="81"/>
      <c r="H963" s="82"/>
      <c r="I963" s="87"/>
    </row>
    <row r="964">
      <c r="B964" s="87"/>
      <c r="G964" s="81"/>
      <c r="H964" s="82"/>
      <c r="I964" s="87"/>
    </row>
    <row r="965">
      <c r="B965" s="87"/>
      <c r="G965" s="81"/>
      <c r="H965" s="82"/>
      <c r="I965" s="87"/>
    </row>
    <row r="966">
      <c r="B966" s="87"/>
      <c r="G966" s="81"/>
      <c r="H966" s="82"/>
      <c r="I966" s="87"/>
    </row>
    <row r="967">
      <c r="B967" s="87"/>
      <c r="G967" s="81"/>
      <c r="H967" s="82"/>
      <c r="I967" s="87"/>
    </row>
    <row r="968">
      <c r="B968" s="87"/>
      <c r="G968" s="81"/>
      <c r="H968" s="82"/>
      <c r="I968" s="87"/>
    </row>
    <row r="969">
      <c r="B969" s="87"/>
      <c r="G969" s="81"/>
      <c r="H969" s="82"/>
      <c r="I969" s="87"/>
    </row>
    <row r="970">
      <c r="B970" s="87"/>
      <c r="G970" s="81"/>
      <c r="H970" s="82"/>
      <c r="I970" s="87"/>
    </row>
    <row r="971">
      <c r="B971" s="87"/>
      <c r="G971" s="81"/>
      <c r="H971" s="82"/>
      <c r="I971" s="87"/>
    </row>
    <row r="972">
      <c r="B972" s="87"/>
      <c r="G972" s="81"/>
      <c r="H972" s="82"/>
      <c r="I972" s="87"/>
    </row>
    <row r="973">
      <c r="B973" s="87"/>
      <c r="G973" s="81"/>
      <c r="H973" s="82"/>
      <c r="I973" s="87"/>
    </row>
    <row r="974">
      <c r="B974" s="87"/>
      <c r="G974" s="81"/>
      <c r="H974" s="82"/>
      <c r="I974" s="87"/>
    </row>
    <row r="975">
      <c r="B975" s="87"/>
      <c r="G975" s="81"/>
      <c r="H975" s="82"/>
      <c r="I975" s="87"/>
    </row>
    <row r="976">
      <c r="B976" s="87"/>
      <c r="G976" s="81"/>
      <c r="H976" s="82"/>
      <c r="I976" s="87"/>
    </row>
    <row r="977">
      <c r="B977" s="87"/>
      <c r="G977" s="81"/>
      <c r="H977" s="82"/>
      <c r="I977" s="87"/>
    </row>
    <row r="978">
      <c r="B978" s="87"/>
      <c r="G978" s="81"/>
      <c r="H978" s="82"/>
      <c r="I978" s="87"/>
    </row>
    <row r="979">
      <c r="B979" s="87"/>
      <c r="G979" s="81"/>
      <c r="H979" s="82"/>
      <c r="I979" s="87"/>
    </row>
    <row r="980">
      <c r="B980" s="87"/>
      <c r="G980" s="81"/>
      <c r="H980" s="82"/>
      <c r="I980" s="87"/>
    </row>
    <row r="981">
      <c r="B981" s="87"/>
      <c r="G981" s="81"/>
      <c r="H981" s="82"/>
      <c r="I981" s="87"/>
    </row>
    <row r="982">
      <c r="B982" s="87"/>
      <c r="G982" s="81"/>
      <c r="H982" s="82"/>
      <c r="I982" s="87"/>
    </row>
    <row r="983">
      <c r="B983" s="87"/>
      <c r="G983" s="81"/>
      <c r="H983" s="82"/>
      <c r="I983" s="87"/>
    </row>
    <row r="984">
      <c r="B984" s="87"/>
      <c r="G984" s="81"/>
      <c r="H984" s="82"/>
      <c r="I984" s="87"/>
    </row>
    <row r="985">
      <c r="B985" s="87"/>
      <c r="G985" s="81"/>
      <c r="H985" s="82"/>
      <c r="I985" s="87"/>
    </row>
    <row r="986">
      <c r="B986" s="87"/>
      <c r="G986" s="81"/>
      <c r="H986" s="82"/>
      <c r="I986" s="87"/>
    </row>
    <row r="987">
      <c r="B987" s="87"/>
      <c r="G987" s="81"/>
      <c r="H987" s="82"/>
      <c r="I987" s="87"/>
    </row>
    <row r="988">
      <c r="B988" s="87"/>
      <c r="G988" s="81"/>
      <c r="H988" s="82"/>
      <c r="I988" s="87"/>
    </row>
    <row r="989">
      <c r="B989" s="87"/>
      <c r="G989" s="81"/>
      <c r="H989" s="82"/>
      <c r="I989" s="87"/>
    </row>
    <row r="990">
      <c r="B990" s="87"/>
      <c r="G990" s="81"/>
      <c r="H990" s="82"/>
      <c r="I990" s="87"/>
    </row>
    <row r="991">
      <c r="B991" s="87"/>
      <c r="G991" s="81"/>
      <c r="H991" s="82"/>
      <c r="I991" s="87"/>
    </row>
    <row r="992">
      <c r="B992" s="87"/>
      <c r="G992" s="81"/>
      <c r="H992" s="82"/>
      <c r="I992" s="87"/>
    </row>
    <row r="993">
      <c r="B993" s="87"/>
      <c r="G993" s="81"/>
      <c r="H993" s="82"/>
      <c r="I993" s="87"/>
    </row>
    <row r="994">
      <c r="B994" s="87"/>
      <c r="G994" s="81"/>
      <c r="H994" s="82"/>
      <c r="I994" s="87"/>
    </row>
    <row r="995">
      <c r="B995" s="87"/>
      <c r="G995" s="81"/>
      <c r="H995" s="82"/>
      <c r="I995" s="87"/>
    </row>
    <row r="996">
      <c r="B996" s="87"/>
      <c r="G996" s="81"/>
      <c r="H996" s="82"/>
      <c r="I996" s="87"/>
    </row>
    <row r="997">
      <c r="B997" s="87"/>
      <c r="G997" s="81"/>
      <c r="H997" s="82"/>
      <c r="I997" s="87"/>
    </row>
    <row r="998">
      <c r="B998" s="87"/>
      <c r="G998" s="81"/>
      <c r="H998" s="82"/>
      <c r="I998" s="87"/>
    </row>
    <row r="999">
      <c r="B999" s="87"/>
      <c r="G999" s="81"/>
      <c r="H999" s="82"/>
      <c r="I999" s="87"/>
    </row>
    <row r="1000">
      <c r="B1000" s="87"/>
      <c r="G1000" s="81"/>
      <c r="H1000" s="82"/>
      <c r="I1000" s="87"/>
    </row>
  </sheetData>
  <mergeCells count="4">
    <mergeCell ref="A1:D1"/>
    <mergeCell ref="H1:K1"/>
    <mergeCell ref="L94:N94"/>
    <mergeCell ref="L97:N9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26.75"/>
    <col customWidth="1" min="3" max="3" width="21.5"/>
    <col customWidth="1" min="5" max="5" width="15.25"/>
    <col customWidth="1" min="6" max="6" width="21.13"/>
    <col customWidth="1" min="7" max="7" width="22.5"/>
    <col customWidth="1" min="8" max="8" width="14.38"/>
    <col customWidth="1" min="9" max="9" width="36.25"/>
  </cols>
  <sheetData>
    <row r="1" ht="22.5" customHeight="1">
      <c r="A1" s="88" t="s">
        <v>83</v>
      </c>
      <c r="B1" s="88" t="s">
        <v>84</v>
      </c>
      <c r="C1" s="88" t="s">
        <v>85</v>
      </c>
      <c r="D1" s="88" t="s">
        <v>86</v>
      </c>
      <c r="E1" s="88" t="s">
        <v>87</v>
      </c>
      <c r="F1" s="88" t="s">
        <v>88</v>
      </c>
      <c r="G1" s="89" t="s">
        <v>89</v>
      </c>
      <c r="H1" s="89" t="s">
        <v>90</v>
      </c>
      <c r="I1" s="88" t="s">
        <v>91</v>
      </c>
    </row>
    <row r="2" ht="22.5" hidden="1" customHeight="1">
      <c r="A2" s="90" t="s">
        <v>92</v>
      </c>
      <c r="B2" s="91" t="s">
        <v>93</v>
      </c>
      <c r="C2" s="92">
        <v>45887.0</v>
      </c>
      <c r="D2" s="93">
        <v>-298.87</v>
      </c>
      <c r="E2" s="94" t="s">
        <v>94</v>
      </c>
      <c r="F2" s="95">
        <v>45931.0</v>
      </c>
      <c r="G2" s="96" t="s">
        <v>95</v>
      </c>
      <c r="H2" s="97" t="s">
        <v>96</v>
      </c>
      <c r="I2" s="98" t="s">
        <v>97</v>
      </c>
    </row>
    <row r="3" ht="22.5" hidden="1" customHeight="1">
      <c r="A3" s="97" t="s">
        <v>92</v>
      </c>
      <c r="B3" s="99" t="s">
        <v>98</v>
      </c>
      <c r="C3" s="100">
        <v>45905.0</v>
      </c>
      <c r="D3" s="101">
        <v>-411.24</v>
      </c>
      <c r="E3" s="102" t="s">
        <v>94</v>
      </c>
      <c r="F3" s="103">
        <v>45931.0</v>
      </c>
      <c r="G3" s="104" t="s">
        <v>95</v>
      </c>
      <c r="H3" s="97" t="s">
        <v>96</v>
      </c>
      <c r="I3" s="105"/>
    </row>
    <row r="4" ht="22.5" hidden="1" customHeight="1">
      <c r="A4" s="90" t="s">
        <v>99</v>
      </c>
      <c r="B4" s="91" t="s">
        <v>100</v>
      </c>
      <c r="C4" s="100">
        <v>46023.0</v>
      </c>
      <c r="D4" s="93">
        <v>-146.14</v>
      </c>
      <c r="E4" s="102" t="s">
        <v>94</v>
      </c>
      <c r="F4" s="106">
        <f>C4</f>
        <v>46023</v>
      </c>
      <c r="G4" s="104" t="s">
        <v>95</v>
      </c>
      <c r="H4" s="97" t="s">
        <v>96</v>
      </c>
      <c r="I4" s="107"/>
    </row>
    <row r="5" ht="22.5" hidden="1" customHeight="1">
      <c r="A5" s="97" t="s">
        <v>92</v>
      </c>
      <c r="B5" s="99" t="s">
        <v>101</v>
      </c>
      <c r="C5" s="100">
        <v>45996.0</v>
      </c>
      <c r="D5" s="101">
        <v>-398.89</v>
      </c>
      <c r="E5" s="102" t="s">
        <v>94</v>
      </c>
      <c r="F5" s="103">
        <v>46000.0</v>
      </c>
      <c r="G5" s="104" t="s">
        <v>95</v>
      </c>
      <c r="H5" s="97" t="s">
        <v>96</v>
      </c>
      <c r="I5" s="105"/>
    </row>
    <row r="6" ht="22.5" hidden="1" customHeight="1">
      <c r="A6" s="90" t="s">
        <v>99</v>
      </c>
      <c r="B6" s="91" t="s">
        <v>100</v>
      </c>
      <c r="C6" s="100">
        <v>46023.0</v>
      </c>
      <c r="D6" s="93">
        <v>-695.76</v>
      </c>
      <c r="E6" s="102" t="s">
        <v>94</v>
      </c>
      <c r="F6" s="106">
        <f t="shared" ref="F6:F18" si="1">C6</f>
        <v>46023</v>
      </c>
      <c r="G6" s="104" t="s">
        <v>95</v>
      </c>
      <c r="H6" s="97" t="s">
        <v>96</v>
      </c>
      <c r="I6" s="107"/>
    </row>
    <row r="7" ht="22.5" hidden="1" customHeight="1">
      <c r="A7" s="90" t="s">
        <v>99</v>
      </c>
      <c r="B7" s="91" t="s">
        <v>100</v>
      </c>
      <c r="C7" s="100">
        <v>46143.0</v>
      </c>
      <c r="D7" s="93">
        <v>-2000.0</v>
      </c>
      <c r="E7" s="102" t="s">
        <v>102</v>
      </c>
      <c r="F7" s="106">
        <f t="shared" si="1"/>
        <v>46143</v>
      </c>
      <c r="G7" s="104" t="s">
        <v>95</v>
      </c>
      <c r="H7" s="97" t="s">
        <v>96</v>
      </c>
      <c r="I7" s="98" t="s">
        <v>103</v>
      </c>
    </row>
    <row r="8" ht="22.5" hidden="1" customHeight="1">
      <c r="A8" s="90" t="s">
        <v>99</v>
      </c>
      <c r="B8" s="91" t="s">
        <v>100</v>
      </c>
      <c r="C8" s="100">
        <v>46174.0</v>
      </c>
      <c r="D8" s="108">
        <v>-2000.0</v>
      </c>
      <c r="E8" s="109" t="s">
        <v>102</v>
      </c>
      <c r="F8" s="106">
        <f t="shared" si="1"/>
        <v>46174</v>
      </c>
      <c r="G8" s="104" t="s">
        <v>95</v>
      </c>
      <c r="H8" s="97" t="s">
        <v>96</v>
      </c>
      <c r="I8" s="107"/>
    </row>
    <row r="9" ht="22.5" hidden="1" customHeight="1">
      <c r="A9" s="90" t="s">
        <v>99</v>
      </c>
      <c r="B9" s="91" t="s">
        <v>100</v>
      </c>
      <c r="C9" s="100">
        <v>46204.0</v>
      </c>
      <c r="D9" s="108">
        <v>-2000.0</v>
      </c>
      <c r="E9" s="109" t="s">
        <v>102</v>
      </c>
      <c r="F9" s="106">
        <f t="shared" si="1"/>
        <v>46204</v>
      </c>
      <c r="G9" s="104" t="s">
        <v>95</v>
      </c>
      <c r="H9" s="97" t="s">
        <v>96</v>
      </c>
      <c r="I9" s="107"/>
    </row>
    <row r="10" ht="22.5" hidden="1" customHeight="1">
      <c r="A10" s="90" t="s">
        <v>99</v>
      </c>
      <c r="B10" s="91" t="s">
        <v>100</v>
      </c>
      <c r="C10" s="100">
        <v>46235.0</v>
      </c>
      <c r="D10" s="108">
        <v>-2000.0</v>
      </c>
      <c r="E10" s="109" t="s">
        <v>102</v>
      </c>
      <c r="F10" s="106">
        <f t="shared" si="1"/>
        <v>46235</v>
      </c>
      <c r="G10" s="104" t="s">
        <v>95</v>
      </c>
      <c r="H10" s="97" t="s">
        <v>96</v>
      </c>
      <c r="I10" s="107"/>
    </row>
    <row r="11" ht="22.5" hidden="1" customHeight="1">
      <c r="A11" s="90" t="s">
        <v>99</v>
      </c>
      <c r="B11" s="91" t="s">
        <v>100</v>
      </c>
      <c r="C11" s="100">
        <v>46266.0</v>
      </c>
      <c r="D11" s="108">
        <v>-2000.0</v>
      </c>
      <c r="E11" s="109" t="s">
        <v>102</v>
      </c>
      <c r="F11" s="106">
        <f t="shared" si="1"/>
        <v>46266</v>
      </c>
      <c r="G11" s="104" t="s">
        <v>95</v>
      </c>
      <c r="H11" s="97" t="s">
        <v>96</v>
      </c>
      <c r="I11" s="107"/>
    </row>
    <row r="12" ht="22.5" hidden="1" customHeight="1">
      <c r="A12" s="90" t="s">
        <v>99</v>
      </c>
      <c r="B12" s="91" t="s">
        <v>100</v>
      </c>
      <c r="C12" s="100">
        <v>46296.0</v>
      </c>
      <c r="D12" s="108">
        <v>-2000.0</v>
      </c>
      <c r="E12" s="109" t="s">
        <v>102</v>
      </c>
      <c r="F12" s="106">
        <f t="shared" si="1"/>
        <v>46296</v>
      </c>
      <c r="G12" s="104" t="s">
        <v>95</v>
      </c>
      <c r="H12" s="97" t="s">
        <v>96</v>
      </c>
      <c r="I12" s="107"/>
    </row>
    <row r="13" ht="22.5" hidden="1" customHeight="1">
      <c r="A13" s="90" t="s">
        <v>99</v>
      </c>
      <c r="B13" s="91" t="s">
        <v>100</v>
      </c>
      <c r="C13" s="100">
        <v>46327.0</v>
      </c>
      <c r="D13" s="108">
        <v>-2000.0</v>
      </c>
      <c r="E13" s="109" t="s">
        <v>102</v>
      </c>
      <c r="F13" s="106">
        <f t="shared" si="1"/>
        <v>46327</v>
      </c>
      <c r="G13" s="104" t="s">
        <v>95</v>
      </c>
      <c r="H13" s="97" t="s">
        <v>96</v>
      </c>
      <c r="I13" s="107"/>
    </row>
    <row r="14" ht="22.5" hidden="1" customHeight="1">
      <c r="A14" s="90" t="s">
        <v>99</v>
      </c>
      <c r="B14" s="91" t="s">
        <v>100</v>
      </c>
      <c r="C14" s="100">
        <v>46357.0</v>
      </c>
      <c r="D14" s="108">
        <v>-2000.0</v>
      </c>
      <c r="E14" s="109" t="s">
        <v>102</v>
      </c>
      <c r="F14" s="106">
        <f t="shared" si="1"/>
        <v>46357</v>
      </c>
      <c r="G14" s="104" t="s">
        <v>95</v>
      </c>
      <c r="H14" s="97" t="s">
        <v>96</v>
      </c>
      <c r="I14" s="107"/>
    </row>
    <row r="15" ht="22.5" hidden="1" customHeight="1">
      <c r="A15" s="97" t="s">
        <v>92</v>
      </c>
      <c r="B15" s="99" t="s">
        <v>19</v>
      </c>
      <c r="C15" s="100">
        <v>46023.0</v>
      </c>
      <c r="D15" s="101">
        <v>-1000.0</v>
      </c>
      <c r="E15" s="102" t="s">
        <v>94</v>
      </c>
      <c r="F15" s="106">
        <f t="shared" si="1"/>
        <v>46023</v>
      </c>
      <c r="G15" s="104" t="s">
        <v>95</v>
      </c>
      <c r="H15" s="97" t="s">
        <v>96</v>
      </c>
      <c r="I15" s="105"/>
    </row>
    <row r="16" ht="22.5" hidden="1" customHeight="1">
      <c r="A16" s="110" t="s">
        <v>104</v>
      </c>
      <c r="B16" s="91" t="s">
        <v>105</v>
      </c>
      <c r="C16" s="100">
        <v>46023.0</v>
      </c>
      <c r="D16" s="93">
        <v>19000.0</v>
      </c>
      <c r="E16" s="94" t="s">
        <v>94</v>
      </c>
      <c r="F16" s="106">
        <f t="shared" si="1"/>
        <v>46023</v>
      </c>
      <c r="G16" s="111" t="s">
        <v>95</v>
      </c>
      <c r="H16" s="110" t="s">
        <v>106</v>
      </c>
      <c r="I16" s="107"/>
    </row>
    <row r="17" ht="22.5" hidden="1" customHeight="1">
      <c r="A17" s="97" t="s">
        <v>107</v>
      </c>
      <c r="B17" s="99" t="s">
        <v>108</v>
      </c>
      <c r="C17" s="100">
        <v>46023.0</v>
      </c>
      <c r="D17" s="101">
        <v>-100.0</v>
      </c>
      <c r="E17" s="102" t="s">
        <v>94</v>
      </c>
      <c r="F17" s="106">
        <f t="shared" si="1"/>
        <v>46023</v>
      </c>
      <c r="G17" s="104" t="s">
        <v>95</v>
      </c>
      <c r="H17" s="97" t="s">
        <v>96</v>
      </c>
      <c r="I17" s="105"/>
    </row>
    <row r="18" ht="22.5" hidden="1" customHeight="1">
      <c r="A18" s="97" t="s">
        <v>109</v>
      </c>
      <c r="B18" s="99" t="s">
        <v>22</v>
      </c>
      <c r="C18" s="100">
        <v>46023.0</v>
      </c>
      <c r="D18" s="101">
        <v>-800.0</v>
      </c>
      <c r="E18" s="102" t="s">
        <v>94</v>
      </c>
      <c r="F18" s="106">
        <f t="shared" si="1"/>
        <v>46023</v>
      </c>
      <c r="G18" s="104" t="s">
        <v>95</v>
      </c>
      <c r="H18" s="97" t="s">
        <v>96</v>
      </c>
      <c r="I18" s="105"/>
    </row>
    <row r="19" ht="22.5" hidden="1" customHeight="1">
      <c r="A19" s="97" t="s">
        <v>109</v>
      </c>
      <c r="B19" s="99" t="s">
        <v>110</v>
      </c>
      <c r="C19" s="100">
        <v>46023.0</v>
      </c>
      <c r="D19" s="101">
        <v>-550.0</v>
      </c>
      <c r="E19" s="102" t="s">
        <v>94</v>
      </c>
      <c r="F19" s="92">
        <v>45931.0</v>
      </c>
      <c r="G19" s="104" t="s">
        <v>95</v>
      </c>
      <c r="H19" s="97" t="s">
        <v>96</v>
      </c>
      <c r="I19" s="105"/>
    </row>
    <row r="20" ht="22.5" hidden="1" customHeight="1">
      <c r="A20" s="90" t="s">
        <v>111</v>
      </c>
      <c r="B20" s="91" t="s">
        <v>112</v>
      </c>
      <c r="C20" s="92">
        <v>46023.0</v>
      </c>
      <c r="D20" s="93">
        <v>-379.5</v>
      </c>
      <c r="E20" s="94" t="s">
        <v>94</v>
      </c>
      <c r="F20" s="92"/>
      <c r="G20" s="111" t="s">
        <v>95</v>
      </c>
      <c r="H20" s="97" t="s">
        <v>96</v>
      </c>
      <c r="I20" s="107"/>
    </row>
    <row r="21" ht="22.5" hidden="1" customHeight="1">
      <c r="A21" s="90" t="s">
        <v>111</v>
      </c>
      <c r="B21" s="91" t="s">
        <v>113</v>
      </c>
      <c r="C21" s="92">
        <v>46023.0</v>
      </c>
      <c r="D21" s="93">
        <v>-388.13</v>
      </c>
      <c r="E21" s="94" t="s">
        <v>102</v>
      </c>
      <c r="F21" s="95"/>
      <c r="G21" s="111" t="s">
        <v>95</v>
      </c>
      <c r="H21" s="97" t="s">
        <v>96</v>
      </c>
      <c r="I21" s="98"/>
    </row>
    <row r="22" ht="22.5" hidden="1" customHeight="1">
      <c r="A22" s="90" t="s">
        <v>111</v>
      </c>
      <c r="B22" s="91" t="s">
        <v>113</v>
      </c>
      <c r="C22" s="92">
        <v>46023.0</v>
      </c>
      <c r="D22" s="93">
        <v>-1324.53</v>
      </c>
      <c r="E22" s="94" t="s">
        <v>102</v>
      </c>
      <c r="F22" s="95"/>
      <c r="G22" s="111" t="s">
        <v>95</v>
      </c>
      <c r="H22" s="97" t="s">
        <v>96</v>
      </c>
      <c r="I22" s="98"/>
    </row>
    <row r="23" ht="22.5" hidden="1" customHeight="1">
      <c r="A23" s="90" t="s">
        <v>111</v>
      </c>
      <c r="B23" s="91" t="s">
        <v>113</v>
      </c>
      <c r="C23" s="92">
        <v>46023.0</v>
      </c>
      <c r="D23" s="93">
        <v>-1219.77</v>
      </c>
      <c r="E23" s="94" t="s">
        <v>102</v>
      </c>
      <c r="F23" s="95"/>
      <c r="G23" s="111" t="s">
        <v>95</v>
      </c>
      <c r="H23" s="97" t="s">
        <v>96</v>
      </c>
      <c r="I23" s="98"/>
    </row>
    <row r="24" ht="22.5" hidden="1" customHeight="1">
      <c r="A24" s="90" t="s">
        <v>111</v>
      </c>
      <c r="B24" s="91" t="s">
        <v>113</v>
      </c>
      <c r="C24" s="92">
        <v>46266.0</v>
      </c>
      <c r="D24" s="93">
        <v>-4000.0</v>
      </c>
      <c r="E24" s="94" t="s">
        <v>102</v>
      </c>
      <c r="F24" s="95"/>
      <c r="G24" s="111" t="s">
        <v>95</v>
      </c>
      <c r="H24" s="97" t="s">
        <v>96</v>
      </c>
      <c r="I24" s="98" t="s">
        <v>114</v>
      </c>
    </row>
    <row r="25" ht="22.5" hidden="1" customHeight="1">
      <c r="A25" s="90" t="s">
        <v>111</v>
      </c>
      <c r="B25" s="91" t="s">
        <v>113</v>
      </c>
      <c r="C25" s="92">
        <v>46235.0</v>
      </c>
      <c r="D25" s="93">
        <v>-4000.0</v>
      </c>
      <c r="E25" s="94" t="s">
        <v>102</v>
      </c>
      <c r="F25" s="95"/>
      <c r="G25" s="111" t="s">
        <v>95</v>
      </c>
      <c r="H25" s="97" t="s">
        <v>96</v>
      </c>
      <c r="I25" s="98" t="s">
        <v>114</v>
      </c>
    </row>
    <row r="26" ht="22.5" hidden="1" customHeight="1">
      <c r="A26" s="90" t="s">
        <v>111</v>
      </c>
      <c r="B26" s="91" t="s">
        <v>113</v>
      </c>
      <c r="C26" s="92">
        <v>46204.0</v>
      </c>
      <c r="D26" s="93">
        <v>-4000.0</v>
      </c>
      <c r="E26" s="94" t="s">
        <v>102</v>
      </c>
      <c r="F26" s="95"/>
      <c r="G26" s="111" t="s">
        <v>95</v>
      </c>
      <c r="H26" s="97" t="s">
        <v>96</v>
      </c>
      <c r="I26" s="98" t="s">
        <v>114</v>
      </c>
    </row>
    <row r="27" ht="22.5" hidden="1" customHeight="1">
      <c r="A27" s="90" t="s">
        <v>111</v>
      </c>
      <c r="B27" s="91" t="s">
        <v>113</v>
      </c>
      <c r="C27" s="92">
        <v>46174.0</v>
      </c>
      <c r="D27" s="93">
        <v>-4000.0</v>
      </c>
      <c r="E27" s="94" t="s">
        <v>102</v>
      </c>
      <c r="F27" s="95"/>
      <c r="G27" s="111" t="s">
        <v>95</v>
      </c>
      <c r="H27" s="97" t="s">
        <v>96</v>
      </c>
      <c r="I27" s="98" t="s">
        <v>114</v>
      </c>
    </row>
    <row r="28" ht="22.5" hidden="1" customHeight="1">
      <c r="A28" s="90" t="s">
        <v>111</v>
      </c>
      <c r="B28" s="91" t="s">
        <v>113</v>
      </c>
      <c r="C28" s="92">
        <v>46143.0</v>
      </c>
      <c r="D28" s="93">
        <v>-4000.0</v>
      </c>
      <c r="E28" s="94" t="s">
        <v>102</v>
      </c>
      <c r="F28" s="95"/>
      <c r="G28" s="111" t="s">
        <v>95</v>
      </c>
      <c r="H28" s="97" t="s">
        <v>96</v>
      </c>
      <c r="I28" s="98" t="s">
        <v>114</v>
      </c>
    </row>
    <row r="29" ht="22.5" hidden="1" customHeight="1">
      <c r="A29" s="90" t="s">
        <v>111</v>
      </c>
      <c r="B29" s="91" t="s">
        <v>113</v>
      </c>
      <c r="C29" s="92">
        <v>46023.0</v>
      </c>
      <c r="D29" s="93">
        <v>-998.68</v>
      </c>
      <c r="E29" s="94" t="s">
        <v>102</v>
      </c>
      <c r="F29" s="95"/>
      <c r="G29" s="111" t="s">
        <v>95</v>
      </c>
      <c r="H29" s="97" t="s">
        <v>96</v>
      </c>
      <c r="I29" s="98"/>
    </row>
    <row r="30" ht="22.5" hidden="1" customHeight="1">
      <c r="A30" s="97" t="s">
        <v>109</v>
      </c>
      <c r="B30" s="99" t="s">
        <v>15</v>
      </c>
      <c r="C30" s="100">
        <v>46023.0</v>
      </c>
      <c r="D30" s="101">
        <v>-700.0</v>
      </c>
      <c r="E30" s="102" t="s">
        <v>94</v>
      </c>
      <c r="F30" s="106">
        <f t="shared" ref="F30:F37" si="2">C30</f>
        <v>46023</v>
      </c>
      <c r="G30" s="104" t="s">
        <v>95</v>
      </c>
      <c r="H30" s="97" t="s">
        <v>96</v>
      </c>
      <c r="I30" s="105"/>
    </row>
    <row r="31" ht="22.5" hidden="1" customHeight="1">
      <c r="A31" s="97" t="s">
        <v>109</v>
      </c>
      <c r="B31" s="99" t="s">
        <v>17</v>
      </c>
      <c r="C31" s="100">
        <v>46023.0</v>
      </c>
      <c r="D31" s="101">
        <v>-1924.0</v>
      </c>
      <c r="E31" s="102" t="s">
        <v>94</v>
      </c>
      <c r="F31" s="106">
        <f t="shared" si="2"/>
        <v>46023</v>
      </c>
      <c r="G31" s="104" t="s">
        <v>95</v>
      </c>
      <c r="H31" s="97" t="s">
        <v>96</v>
      </c>
      <c r="I31" s="105"/>
    </row>
    <row r="32" ht="22.5" hidden="1" customHeight="1">
      <c r="A32" s="110" t="s">
        <v>104</v>
      </c>
      <c r="B32" s="112" t="s">
        <v>45</v>
      </c>
      <c r="C32" s="92">
        <v>46024.0</v>
      </c>
      <c r="D32" s="113">
        <v>750.0</v>
      </c>
      <c r="E32" s="94" t="s">
        <v>94</v>
      </c>
      <c r="F32" s="106">
        <f t="shared" si="2"/>
        <v>46024</v>
      </c>
      <c r="G32" s="111" t="s">
        <v>95</v>
      </c>
      <c r="H32" s="110" t="s">
        <v>106</v>
      </c>
      <c r="I32" s="107"/>
    </row>
    <row r="33" ht="22.5" hidden="1" customHeight="1">
      <c r="A33" s="90" t="s">
        <v>99</v>
      </c>
      <c r="B33" s="91" t="s">
        <v>115</v>
      </c>
      <c r="C33" s="92">
        <v>46027.0</v>
      </c>
      <c r="D33" s="93">
        <v>-4000.0</v>
      </c>
      <c r="E33" s="94" t="s">
        <v>94</v>
      </c>
      <c r="F33" s="92">
        <f t="shared" si="2"/>
        <v>46027</v>
      </c>
      <c r="G33" s="111" t="s">
        <v>95</v>
      </c>
      <c r="H33" s="97" t="s">
        <v>96</v>
      </c>
      <c r="I33" s="107"/>
    </row>
    <row r="34" ht="22.5" hidden="1" customHeight="1">
      <c r="A34" s="90" t="s">
        <v>92</v>
      </c>
      <c r="B34" s="91" t="s">
        <v>70</v>
      </c>
      <c r="C34" s="92">
        <v>46027.0</v>
      </c>
      <c r="D34" s="93">
        <v>900.0</v>
      </c>
      <c r="E34" s="94" t="s">
        <v>94</v>
      </c>
      <c r="F34" s="92">
        <f t="shared" si="2"/>
        <v>46027</v>
      </c>
      <c r="G34" s="111" t="s">
        <v>95</v>
      </c>
      <c r="H34" s="97" t="s">
        <v>106</v>
      </c>
      <c r="I34" s="107"/>
    </row>
    <row r="35" ht="22.5" hidden="1" customHeight="1">
      <c r="A35" s="97" t="s">
        <v>92</v>
      </c>
      <c r="B35" s="99" t="s">
        <v>116</v>
      </c>
      <c r="C35" s="100">
        <v>46027.0</v>
      </c>
      <c r="D35" s="101">
        <v>0.0</v>
      </c>
      <c r="E35" s="94" t="s">
        <v>94</v>
      </c>
      <c r="F35" s="103">
        <f t="shared" si="2"/>
        <v>46027</v>
      </c>
      <c r="G35" s="104" t="s">
        <v>95</v>
      </c>
      <c r="H35" s="97" t="s">
        <v>96</v>
      </c>
      <c r="I35" s="105"/>
    </row>
    <row r="36" ht="22.5" hidden="1" customHeight="1">
      <c r="A36" s="97" t="s">
        <v>92</v>
      </c>
      <c r="B36" s="99" t="s">
        <v>117</v>
      </c>
      <c r="C36" s="100">
        <v>46027.0</v>
      </c>
      <c r="D36" s="101">
        <v>-929.98</v>
      </c>
      <c r="E36" s="94" t="s">
        <v>94</v>
      </c>
      <c r="F36" s="103">
        <f t="shared" si="2"/>
        <v>46027</v>
      </c>
      <c r="G36" s="104" t="s">
        <v>95</v>
      </c>
      <c r="H36" s="97" t="s">
        <v>96</v>
      </c>
      <c r="I36" s="105"/>
    </row>
    <row r="37" ht="22.5" hidden="1" customHeight="1">
      <c r="A37" s="97" t="s">
        <v>92</v>
      </c>
      <c r="B37" s="99" t="s">
        <v>98</v>
      </c>
      <c r="C37" s="100">
        <v>46027.0</v>
      </c>
      <c r="D37" s="101">
        <v>-398.89</v>
      </c>
      <c r="E37" s="94" t="s">
        <v>94</v>
      </c>
      <c r="F37" s="92">
        <f t="shared" si="2"/>
        <v>46027</v>
      </c>
      <c r="G37" s="104" t="s">
        <v>95</v>
      </c>
      <c r="H37" s="97" t="s">
        <v>96</v>
      </c>
      <c r="I37" s="105"/>
    </row>
    <row r="38" ht="22.5" hidden="1" customHeight="1">
      <c r="A38" s="96" t="s">
        <v>104</v>
      </c>
      <c r="B38" s="114" t="s">
        <v>45</v>
      </c>
      <c r="C38" s="115">
        <v>45926.0</v>
      </c>
      <c r="D38" s="116">
        <v>750.0</v>
      </c>
      <c r="E38" s="96" t="s">
        <v>94</v>
      </c>
      <c r="F38" s="115">
        <v>45926.0</v>
      </c>
      <c r="G38" s="96" t="s">
        <v>95</v>
      </c>
      <c r="H38" s="96" t="s">
        <v>106</v>
      </c>
      <c r="I38" s="117"/>
    </row>
    <row r="39" ht="22.5" hidden="1" customHeight="1">
      <c r="A39" s="110" t="s">
        <v>104</v>
      </c>
      <c r="B39" s="91" t="s">
        <v>118</v>
      </c>
      <c r="C39" s="92">
        <v>45931.0</v>
      </c>
      <c r="D39" s="93">
        <v>1703.66</v>
      </c>
      <c r="E39" s="94" t="s">
        <v>94</v>
      </c>
      <c r="F39" s="92">
        <v>45931.0</v>
      </c>
      <c r="G39" s="111" t="s">
        <v>95</v>
      </c>
      <c r="H39" s="110" t="s">
        <v>106</v>
      </c>
      <c r="I39" s="98" t="s">
        <v>119</v>
      </c>
    </row>
    <row r="40" ht="22.5" hidden="1" customHeight="1">
      <c r="A40" s="97" t="s">
        <v>109</v>
      </c>
      <c r="B40" s="99" t="s">
        <v>22</v>
      </c>
      <c r="C40" s="100">
        <v>45931.0</v>
      </c>
      <c r="D40" s="101">
        <v>-810.0</v>
      </c>
      <c r="E40" s="102" t="s">
        <v>94</v>
      </c>
      <c r="F40" s="92">
        <v>45931.0</v>
      </c>
      <c r="G40" s="104" t="s">
        <v>95</v>
      </c>
      <c r="H40" s="97" t="s">
        <v>96</v>
      </c>
      <c r="I40" s="105"/>
    </row>
    <row r="41" ht="22.5" hidden="1" customHeight="1">
      <c r="A41" s="97" t="s">
        <v>109</v>
      </c>
      <c r="B41" s="99" t="s">
        <v>22</v>
      </c>
      <c r="C41" s="100">
        <v>45962.0</v>
      </c>
      <c r="D41" s="101">
        <v>-810.0</v>
      </c>
      <c r="E41" s="102" t="s">
        <v>94</v>
      </c>
      <c r="F41" s="106">
        <f t="shared" ref="F41:F43" si="3">C41</f>
        <v>45962</v>
      </c>
      <c r="G41" s="104" t="s">
        <v>95</v>
      </c>
      <c r="H41" s="97" t="s">
        <v>96</v>
      </c>
      <c r="I41" s="105"/>
    </row>
    <row r="42" ht="22.5" hidden="1" customHeight="1">
      <c r="A42" s="97" t="s">
        <v>109</v>
      </c>
      <c r="B42" s="99" t="s">
        <v>22</v>
      </c>
      <c r="C42" s="100">
        <v>45992.0</v>
      </c>
      <c r="D42" s="101">
        <v>-810.0</v>
      </c>
      <c r="E42" s="102" t="s">
        <v>94</v>
      </c>
      <c r="F42" s="106">
        <f t="shared" si="3"/>
        <v>45992</v>
      </c>
      <c r="G42" s="104" t="s">
        <v>95</v>
      </c>
      <c r="H42" s="97" t="s">
        <v>96</v>
      </c>
      <c r="I42" s="105"/>
    </row>
    <row r="43" ht="22.5" hidden="1" customHeight="1">
      <c r="A43" s="97" t="s">
        <v>92</v>
      </c>
      <c r="B43" s="99" t="s">
        <v>101</v>
      </c>
      <c r="C43" s="100">
        <v>46027.0</v>
      </c>
      <c r="D43" s="101">
        <v>424.35</v>
      </c>
      <c r="E43" s="94" t="s">
        <v>94</v>
      </c>
      <c r="F43" s="92">
        <f t="shared" si="3"/>
        <v>46027</v>
      </c>
      <c r="G43" s="104" t="s">
        <v>95</v>
      </c>
      <c r="H43" s="97" t="s">
        <v>96</v>
      </c>
      <c r="I43" s="105"/>
    </row>
    <row r="44" ht="22.5" hidden="1" customHeight="1">
      <c r="A44" s="90" t="s">
        <v>120</v>
      </c>
      <c r="B44" s="91" t="s">
        <v>121</v>
      </c>
      <c r="C44" s="92">
        <v>45931.0</v>
      </c>
      <c r="D44" s="93">
        <v>-1000.0</v>
      </c>
      <c r="E44" s="102" t="s">
        <v>94</v>
      </c>
      <c r="F44" s="92">
        <v>45931.0</v>
      </c>
      <c r="G44" s="104" t="s">
        <v>95</v>
      </c>
      <c r="H44" s="97" t="s">
        <v>96</v>
      </c>
      <c r="I44" s="98" t="s">
        <v>122</v>
      </c>
    </row>
    <row r="45" ht="22.5" hidden="1" customHeight="1">
      <c r="A45" s="90" t="s">
        <v>99</v>
      </c>
      <c r="B45" s="91" t="s">
        <v>123</v>
      </c>
      <c r="C45" s="92">
        <v>45931.0</v>
      </c>
      <c r="D45" s="93">
        <v>-2000.0</v>
      </c>
      <c r="E45" s="94" t="s">
        <v>94</v>
      </c>
      <c r="F45" s="92">
        <v>45931.0</v>
      </c>
      <c r="G45" s="111" t="s">
        <v>95</v>
      </c>
      <c r="H45" s="97" t="s">
        <v>96</v>
      </c>
      <c r="I45" s="107"/>
    </row>
    <row r="46" ht="22.5" hidden="1" customHeight="1">
      <c r="A46" s="90" t="s">
        <v>111</v>
      </c>
      <c r="B46" s="91" t="s">
        <v>112</v>
      </c>
      <c r="C46" s="92">
        <v>45931.0</v>
      </c>
      <c r="D46" s="93">
        <v>-379.5</v>
      </c>
      <c r="E46" s="94" t="s">
        <v>94</v>
      </c>
      <c r="F46" s="92">
        <v>45931.0</v>
      </c>
      <c r="G46" s="111" t="s">
        <v>95</v>
      </c>
      <c r="H46" s="97" t="s">
        <v>96</v>
      </c>
      <c r="I46" s="107"/>
    </row>
    <row r="47" ht="22.5" hidden="1" customHeight="1">
      <c r="A47" s="90" t="s">
        <v>124</v>
      </c>
      <c r="B47" s="91" t="s">
        <v>125</v>
      </c>
      <c r="C47" s="92">
        <v>45931.0</v>
      </c>
      <c r="D47" s="113">
        <v>-278.0</v>
      </c>
      <c r="E47" s="94" t="s">
        <v>94</v>
      </c>
      <c r="F47" s="92">
        <v>45931.0</v>
      </c>
      <c r="G47" s="111" t="s">
        <v>95</v>
      </c>
      <c r="H47" s="97" t="s">
        <v>96</v>
      </c>
      <c r="I47" s="107"/>
    </row>
    <row r="48" ht="22.5" hidden="1" customHeight="1">
      <c r="A48" s="90" t="s">
        <v>99</v>
      </c>
      <c r="B48" s="91" t="s">
        <v>126</v>
      </c>
      <c r="C48" s="92">
        <v>45931.0</v>
      </c>
      <c r="D48" s="113">
        <v>-150.0</v>
      </c>
      <c r="E48" s="94" t="s">
        <v>94</v>
      </c>
      <c r="F48" s="92">
        <v>45931.0</v>
      </c>
      <c r="G48" s="111" t="s">
        <v>95</v>
      </c>
      <c r="H48" s="97" t="s">
        <v>96</v>
      </c>
      <c r="I48" s="98" t="s">
        <v>122</v>
      </c>
    </row>
    <row r="49" ht="22.5" hidden="1" customHeight="1">
      <c r="A49" s="90" t="s">
        <v>111</v>
      </c>
      <c r="B49" s="91" t="s">
        <v>113</v>
      </c>
      <c r="C49" s="92">
        <v>45932.0</v>
      </c>
      <c r="D49" s="93">
        <v>-1684.54</v>
      </c>
      <c r="E49" s="94" t="s">
        <v>94</v>
      </c>
      <c r="F49" s="95">
        <v>45931.0</v>
      </c>
      <c r="G49" s="111" t="s">
        <v>95</v>
      </c>
      <c r="H49" s="97" t="s">
        <v>96</v>
      </c>
      <c r="I49" s="98" t="s">
        <v>127</v>
      </c>
    </row>
    <row r="50" ht="22.5" hidden="1" customHeight="1">
      <c r="A50" s="97" t="s">
        <v>111</v>
      </c>
      <c r="B50" s="99" t="s">
        <v>128</v>
      </c>
      <c r="C50" s="92">
        <v>45932.0</v>
      </c>
      <c r="D50" s="101">
        <v>-58.96</v>
      </c>
      <c r="E50" s="102" t="s">
        <v>94</v>
      </c>
      <c r="F50" s="92">
        <v>45931.0</v>
      </c>
      <c r="G50" s="104" t="s">
        <v>95</v>
      </c>
      <c r="H50" s="97" t="s">
        <v>96</v>
      </c>
      <c r="I50" s="105"/>
    </row>
    <row r="51" ht="22.5" hidden="1" customHeight="1">
      <c r="A51" s="96" t="s">
        <v>120</v>
      </c>
      <c r="B51" s="114" t="s">
        <v>52</v>
      </c>
      <c r="C51" s="115">
        <v>45933.0</v>
      </c>
      <c r="D51" s="116">
        <v>-50.0</v>
      </c>
      <c r="E51" s="96" t="s">
        <v>94</v>
      </c>
      <c r="F51" s="115">
        <f t="shared" ref="F51:F53" si="4">C51</f>
        <v>45933</v>
      </c>
      <c r="G51" s="96" t="s">
        <v>95</v>
      </c>
      <c r="H51" s="97" t="s">
        <v>96</v>
      </c>
      <c r="I51" s="114" t="s">
        <v>129</v>
      </c>
    </row>
    <row r="52" ht="22.5" hidden="1" customHeight="1">
      <c r="A52" s="96" t="s">
        <v>130</v>
      </c>
      <c r="B52" s="114" t="s">
        <v>131</v>
      </c>
      <c r="C52" s="115">
        <v>45933.0</v>
      </c>
      <c r="D52" s="116">
        <v>-200.0</v>
      </c>
      <c r="E52" s="96" t="s">
        <v>94</v>
      </c>
      <c r="F52" s="115">
        <f t="shared" si="4"/>
        <v>45933</v>
      </c>
      <c r="G52" s="96" t="s">
        <v>95</v>
      </c>
      <c r="H52" s="97" t="s">
        <v>96</v>
      </c>
      <c r="I52" s="114" t="s">
        <v>129</v>
      </c>
    </row>
    <row r="53" ht="22.5" hidden="1" customHeight="1">
      <c r="A53" s="110" t="s">
        <v>104</v>
      </c>
      <c r="B53" s="112" t="s">
        <v>45</v>
      </c>
      <c r="C53" s="92">
        <v>46031.0</v>
      </c>
      <c r="D53" s="113">
        <v>750.0</v>
      </c>
      <c r="E53" s="94" t="s">
        <v>94</v>
      </c>
      <c r="F53" s="106">
        <f t="shared" si="4"/>
        <v>46031</v>
      </c>
      <c r="G53" s="111" t="s">
        <v>95</v>
      </c>
      <c r="H53" s="110" t="s">
        <v>106</v>
      </c>
      <c r="I53" s="107"/>
    </row>
    <row r="54" ht="22.5" hidden="1" customHeight="1">
      <c r="A54" s="90" t="s">
        <v>99</v>
      </c>
      <c r="B54" s="91" t="s">
        <v>100</v>
      </c>
      <c r="C54" s="92">
        <v>45934.0</v>
      </c>
      <c r="D54" s="113">
        <v>-560.31</v>
      </c>
      <c r="E54" s="94" t="s">
        <v>94</v>
      </c>
      <c r="F54" s="92">
        <v>45931.0</v>
      </c>
      <c r="G54" s="111" t="s">
        <v>95</v>
      </c>
      <c r="H54" s="97" t="s">
        <v>96</v>
      </c>
      <c r="I54" s="98" t="s">
        <v>25</v>
      </c>
    </row>
    <row r="55" ht="22.5" hidden="1" customHeight="1">
      <c r="A55" s="96" t="s">
        <v>104</v>
      </c>
      <c r="B55" s="114" t="s">
        <v>45</v>
      </c>
      <c r="C55" s="115">
        <v>45934.0</v>
      </c>
      <c r="D55" s="116">
        <v>750.0</v>
      </c>
      <c r="E55" s="96" t="s">
        <v>94</v>
      </c>
      <c r="F55" s="115">
        <v>45934.0</v>
      </c>
      <c r="G55" s="96" t="s">
        <v>95</v>
      </c>
      <c r="H55" s="96" t="s">
        <v>106</v>
      </c>
      <c r="I55" s="117"/>
    </row>
    <row r="56" ht="22.5" hidden="1" customHeight="1">
      <c r="A56" s="110" t="s">
        <v>104</v>
      </c>
      <c r="B56" s="91" t="s">
        <v>105</v>
      </c>
      <c r="C56" s="92">
        <v>45935.0</v>
      </c>
      <c r="D56" s="93">
        <v>19000.0</v>
      </c>
      <c r="E56" s="94" t="s">
        <v>94</v>
      </c>
      <c r="F56" s="92">
        <v>45931.0</v>
      </c>
      <c r="G56" s="111" t="s">
        <v>95</v>
      </c>
      <c r="H56" s="110" t="s">
        <v>106</v>
      </c>
      <c r="I56" s="107"/>
    </row>
    <row r="57" ht="22.5" hidden="1" customHeight="1">
      <c r="A57" s="97" t="s">
        <v>92</v>
      </c>
      <c r="B57" s="99" t="s">
        <v>98</v>
      </c>
      <c r="C57" s="100">
        <v>45935.0</v>
      </c>
      <c r="D57" s="101">
        <v>-395.06</v>
      </c>
      <c r="E57" s="102" t="s">
        <v>94</v>
      </c>
      <c r="F57" s="103">
        <v>45931.0</v>
      </c>
      <c r="G57" s="104" t="s">
        <v>95</v>
      </c>
      <c r="H57" s="97" t="s">
        <v>96</v>
      </c>
      <c r="I57" s="105"/>
    </row>
    <row r="58" ht="22.5" hidden="1" customHeight="1">
      <c r="A58" s="97" t="s">
        <v>92</v>
      </c>
      <c r="B58" s="99" t="s">
        <v>116</v>
      </c>
      <c r="C58" s="100">
        <v>45935.0</v>
      </c>
      <c r="D58" s="101">
        <v>-929.98</v>
      </c>
      <c r="E58" s="102" t="s">
        <v>94</v>
      </c>
      <c r="F58" s="103">
        <v>45931.0</v>
      </c>
      <c r="G58" s="104" t="s">
        <v>95</v>
      </c>
      <c r="H58" s="97" t="s">
        <v>96</v>
      </c>
      <c r="I58" s="105"/>
    </row>
    <row r="59" ht="22.5" hidden="1" customHeight="1">
      <c r="A59" s="90" t="s">
        <v>120</v>
      </c>
      <c r="B59" s="91" t="s">
        <v>29</v>
      </c>
      <c r="C59" s="92">
        <v>45935.0</v>
      </c>
      <c r="D59" s="93">
        <v>-280.0</v>
      </c>
      <c r="E59" s="102" t="s">
        <v>94</v>
      </c>
      <c r="F59" s="92">
        <v>45933.0</v>
      </c>
      <c r="G59" s="104" t="s">
        <v>95</v>
      </c>
      <c r="H59" s="97" t="s">
        <v>96</v>
      </c>
      <c r="I59" s="98"/>
    </row>
    <row r="60" ht="22.5" hidden="1" customHeight="1">
      <c r="A60" s="90" t="s">
        <v>92</v>
      </c>
      <c r="B60" s="91" t="s">
        <v>70</v>
      </c>
      <c r="C60" s="92">
        <v>45935.0</v>
      </c>
      <c r="D60" s="93">
        <v>800.0</v>
      </c>
      <c r="E60" s="94" t="s">
        <v>94</v>
      </c>
      <c r="F60" s="92">
        <v>45937.0</v>
      </c>
      <c r="G60" s="111" t="s">
        <v>95</v>
      </c>
      <c r="H60" s="97" t="s">
        <v>106</v>
      </c>
      <c r="I60" s="107"/>
    </row>
    <row r="61" ht="22.5" hidden="1" customHeight="1">
      <c r="A61" s="90" t="s">
        <v>92</v>
      </c>
      <c r="B61" s="91" t="s">
        <v>26</v>
      </c>
      <c r="C61" s="92">
        <v>45937.0</v>
      </c>
      <c r="D61" s="113">
        <v>-2338.88</v>
      </c>
      <c r="E61" s="94" t="s">
        <v>94</v>
      </c>
      <c r="F61" s="106">
        <f t="shared" ref="F61:F63" si="5">C61</f>
        <v>45937</v>
      </c>
      <c r="G61" s="111" t="s">
        <v>95</v>
      </c>
      <c r="H61" s="97" t="s">
        <v>96</v>
      </c>
      <c r="I61" s="107"/>
    </row>
    <row r="62" ht="22.5" hidden="1" customHeight="1">
      <c r="A62" s="90" t="s">
        <v>92</v>
      </c>
      <c r="B62" s="91" t="s">
        <v>72</v>
      </c>
      <c r="C62" s="92">
        <v>46032.0</v>
      </c>
      <c r="D62" s="93">
        <v>450.0</v>
      </c>
      <c r="E62" s="94" t="s">
        <v>94</v>
      </c>
      <c r="F62" s="106">
        <f t="shared" si="5"/>
        <v>46032</v>
      </c>
      <c r="G62" s="111" t="s">
        <v>95</v>
      </c>
      <c r="H62" s="97" t="s">
        <v>106</v>
      </c>
      <c r="I62" s="107"/>
    </row>
    <row r="63" ht="22.5" hidden="1" customHeight="1">
      <c r="A63" s="97" t="s">
        <v>92</v>
      </c>
      <c r="B63" s="99" t="s">
        <v>132</v>
      </c>
      <c r="C63" s="100">
        <v>46032.0</v>
      </c>
      <c r="D63" s="101">
        <v>-563.17</v>
      </c>
      <c r="E63" s="102" t="s">
        <v>94</v>
      </c>
      <c r="F63" s="106">
        <f t="shared" si="5"/>
        <v>46032</v>
      </c>
      <c r="G63" s="104" t="s">
        <v>95</v>
      </c>
      <c r="H63" s="97" t="s">
        <v>96</v>
      </c>
      <c r="I63" s="105"/>
    </row>
    <row r="64" ht="22.5" hidden="1" customHeight="1">
      <c r="A64" s="97" t="s">
        <v>92</v>
      </c>
      <c r="B64" s="99" t="s">
        <v>19</v>
      </c>
      <c r="C64" s="92">
        <v>45940.0</v>
      </c>
      <c r="D64" s="101">
        <v>-1000.0</v>
      </c>
      <c r="E64" s="102" t="s">
        <v>94</v>
      </c>
      <c r="F64" s="92">
        <v>45931.0</v>
      </c>
      <c r="G64" s="104" t="s">
        <v>95</v>
      </c>
      <c r="H64" s="97" t="s">
        <v>96</v>
      </c>
      <c r="I64" s="105"/>
    </row>
    <row r="65" ht="22.5" hidden="1" customHeight="1">
      <c r="A65" s="90" t="s">
        <v>111</v>
      </c>
      <c r="B65" s="91" t="s">
        <v>113</v>
      </c>
      <c r="C65" s="92">
        <v>45940.0</v>
      </c>
      <c r="D65" s="93">
        <v>-94.28</v>
      </c>
      <c r="E65" s="94" t="s">
        <v>94</v>
      </c>
      <c r="F65" s="95">
        <v>45932.0</v>
      </c>
      <c r="G65" s="111" t="s">
        <v>95</v>
      </c>
      <c r="H65" s="97" t="s">
        <v>96</v>
      </c>
      <c r="I65" s="98" t="s">
        <v>133</v>
      </c>
    </row>
    <row r="66" ht="22.5" hidden="1" customHeight="1">
      <c r="A66" s="96" t="s">
        <v>120</v>
      </c>
      <c r="B66" s="114" t="s">
        <v>52</v>
      </c>
      <c r="C66" s="115">
        <v>45940.0</v>
      </c>
      <c r="D66" s="116">
        <v>-50.0</v>
      </c>
      <c r="E66" s="96" t="s">
        <v>94</v>
      </c>
      <c r="F66" s="115">
        <f t="shared" ref="F66:F70" si="6">C66</f>
        <v>45940</v>
      </c>
      <c r="G66" s="96" t="s">
        <v>95</v>
      </c>
      <c r="H66" s="97" t="s">
        <v>96</v>
      </c>
      <c r="I66" s="114" t="s">
        <v>129</v>
      </c>
    </row>
    <row r="67" ht="22.5" hidden="1" customHeight="1">
      <c r="A67" s="90" t="s">
        <v>92</v>
      </c>
      <c r="B67" s="91" t="s">
        <v>134</v>
      </c>
      <c r="C67" s="92">
        <v>45940.0</v>
      </c>
      <c r="D67" s="93">
        <v>-600.06</v>
      </c>
      <c r="E67" s="94" t="s">
        <v>94</v>
      </c>
      <c r="F67" s="106">
        <f t="shared" si="6"/>
        <v>45940</v>
      </c>
      <c r="G67" s="111" t="s">
        <v>95</v>
      </c>
      <c r="H67" s="97" t="s">
        <v>96</v>
      </c>
      <c r="I67" s="107"/>
    </row>
    <row r="68" ht="22.5" hidden="1" customHeight="1">
      <c r="A68" s="90" t="s">
        <v>135</v>
      </c>
      <c r="B68" s="99" t="s">
        <v>136</v>
      </c>
      <c r="C68" s="100">
        <v>46032.0</v>
      </c>
      <c r="D68" s="101">
        <v>-58.47</v>
      </c>
      <c r="E68" s="94" t="s">
        <v>94</v>
      </c>
      <c r="F68" s="106">
        <f t="shared" si="6"/>
        <v>46032</v>
      </c>
      <c r="G68" s="111" t="s">
        <v>95</v>
      </c>
      <c r="H68" s="97" t="s">
        <v>96</v>
      </c>
      <c r="I68" s="105"/>
    </row>
    <row r="69" ht="22.5" hidden="1" customHeight="1">
      <c r="A69" s="97" t="s">
        <v>92</v>
      </c>
      <c r="B69" s="99" t="s">
        <v>132</v>
      </c>
      <c r="C69" s="100">
        <v>45940.0</v>
      </c>
      <c r="D69" s="101">
        <v>-563.17</v>
      </c>
      <c r="E69" s="102" t="s">
        <v>94</v>
      </c>
      <c r="F69" s="106">
        <f t="shared" si="6"/>
        <v>45940</v>
      </c>
      <c r="G69" s="104" t="s">
        <v>95</v>
      </c>
      <c r="H69" s="97" t="s">
        <v>96</v>
      </c>
      <c r="I69" s="105"/>
    </row>
    <row r="70" ht="22.5" hidden="1" customHeight="1">
      <c r="A70" s="90" t="s">
        <v>92</v>
      </c>
      <c r="B70" s="91" t="s">
        <v>72</v>
      </c>
      <c r="C70" s="92">
        <v>45940.0</v>
      </c>
      <c r="D70" s="93">
        <v>450.0</v>
      </c>
      <c r="E70" s="94" t="s">
        <v>94</v>
      </c>
      <c r="F70" s="106">
        <f t="shared" si="6"/>
        <v>45940</v>
      </c>
      <c r="G70" s="111" t="s">
        <v>95</v>
      </c>
      <c r="H70" s="97" t="s">
        <v>106</v>
      </c>
      <c r="I70" s="107"/>
    </row>
    <row r="71" ht="22.5" hidden="1" customHeight="1">
      <c r="A71" s="90" t="s">
        <v>99</v>
      </c>
      <c r="B71" s="91" t="s">
        <v>115</v>
      </c>
      <c r="C71" s="92">
        <v>45941.0</v>
      </c>
      <c r="D71" s="93">
        <v>0.0</v>
      </c>
      <c r="E71" s="102" t="s">
        <v>94</v>
      </c>
      <c r="F71" s="92">
        <v>45941.0</v>
      </c>
      <c r="G71" s="104" t="s">
        <v>95</v>
      </c>
      <c r="H71" s="97" t="s">
        <v>96</v>
      </c>
      <c r="I71" s="107"/>
    </row>
    <row r="72" ht="22.5" hidden="1" customHeight="1">
      <c r="A72" s="110" t="s">
        <v>104</v>
      </c>
      <c r="B72" s="112" t="s">
        <v>45</v>
      </c>
      <c r="C72" s="92">
        <v>45941.0</v>
      </c>
      <c r="D72" s="113">
        <v>750.0</v>
      </c>
      <c r="E72" s="94" t="s">
        <v>94</v>
      </c>
      <c r="F72" s="106">
        <f t="shared" ref="F72:F73" si="7">C72</f>
        <v>45941</v>
      </c>
      <c r="G72" s="111" t="s">
        <v>95</v>
      </c>
      <c r="H72" s="110" t="s">
        <v>106</v>
      </c>
      <c r="I72" s="107"/>
    </row>
    <row r="73" ht="22.5" hidden="1" customHeight="1">
      <c r="A73" s="110" t="s">
        <v>104</v>
      </c>
      <c r="B73" s="91" t="s">
        <v>118</v>
      </c>
      <c r="C73" s="92">
        <v>45945.0</v>
      </c>
      <c r="D73" s="93">
        <v>2954.0</v>
      </c>
      <c r="E73" s="94" t="s">
        <v>94</v>
      </c>
      <c r="F73" s="106">
        <f t="shared" si="7"/>
        <v>45945</v>
      </c>
      <c r="G73" s="111" t="s">
        <v>95</v>
      </c>
      <c r="H73" s="110" t="s">
        <v>106</v>
      </c>
      <c r="I73" s="107"/>
    </row>
    <row r="74" ht="22.5" hidden="1" customHeight="1">
      <c r="A74" s="90" t="s">
        <v>135</v>
      </c>
      <c r="B74" s="91" t="s">
        <v>137</v>
      </c>
      <c r="C74" s="92">
        <v>45910.0</v>
      </c>
      <c r="D74" s="93">
        <v>-2443.71</v>
      </c>
      <c r="E74" s="102" t="s">
        <v>94</v>
      </c>
      <c r="F74" s="95">
        <v>45931.0</v>
      </c>
      <c r="G74" s="104" t="s">
        <v>95</v>
      </c>
      <c r="H74" s="97" t="s">
        <v>96</v>
      </c>
      <c r="I74" s="107"/>
    </row>
    <row r="75" ht="22.5" hidden="1" customHeight="1">
      <c r="A75" s="90" t="s">
        <v>99</v>
      </c>
      <c r="B75" s="91" t="s">
        <v>100</v>
      </c>
      <c r="C75" s="92">
        <v>45947.0</v>
      </c>
      <c r="D75" s="113">
        <v>-2202.49</v>
      </c>
      <c r="E75" s="94" t="s">
        <v>94</v>
      </c>
      <c r="F75" s="106">
        <f t="shared" ref="F75:F78" si="8">C75</f>
        <v>45947</v>
      </c>
      <c r="G75" s="111" t="s">
        <v>95</v>
      </c>
      <c r="H75" s="97" t="s">
        <v>96</v>
      </c>
      <c r="I75" s="98" t="s">
        <v>138</v>
      </c>
    </row>
    <row r="76" ht="22.5" hidden="1" customHeight="1">
      <c r="A76" s="110" t="s">
        <v>104</v>
      </c>
      <c r="B76" s="112" t="s">
        <v>45</v>
      </c>
      <c r="C76" s="92">
        <v>45948.0</v>
      </c>
      <c r="D76" s="113">
        <v>750.0</v>
      </c>
      <c r="E76" s="102" t="s">
        <v>94</v>
      </c>
      <c r="F76" s="106">
        <f t="shared" si="8"/>
        <v>45948</v>
      </c>
      <c r="G76" s="111" t="s">
        <v>95</v>
      </c>
      <c r="H76" s="110" t="s">
        <v>106</v>
      </c>
      <c r="I76" s="107"/>
    </row>
    <row r="77" ht="22.5" hidden="1" customHeight="1">
      <c r="A77" s="90" t="s">
        <v>124</v>
      </c>
      <c r="B77" s="91" t="s">
        <v>139</v>
      </c>
      <c r="C77" s="92">
        <v>45955.0</v>
      </c>
      <c r="D77" s="113">
        <v>-89.8</v>
      </c>
      <c r="E77" s="102" t="s">
        <v>94</v>
      </c>
      <c r="F77" s="106">
        <f t="shared" si="8"/>
        <v>45955</v>
      </c>
      <c r="G77" s="111" t="s">
        <v>95</v>
      </c>
      <c r="H77" s="97" t="s">
        <v>96</v>
      </c>
      <c r="I77" s="107"/>
    </row>
    <row r="78" ht="22.5" hidden="1" customHeight="1">
      <c r="A78" s="110" t="s">
        <v>104</v>
      </c>
      <c r="B78" s="112" t="s">
        <v>45</v>
      </c>
      <c r="C78" s="92">
        <v>45955.0</v>
      </c>
      <c r="D78" s="113">
        <v>750.0</v>
      </c>
      <c r="E78" s="102" t="s">
        <v>94</v>
      </c>
      <c r="F78" s="106">
        <f t="shared" si="8"/>
        <v>45955</v>
      </c>
      <c r="G78" s="111" t="s">
        <v>95</v>
      </c>
      <c r="H78" s="110" t="s">
        <v>106</v>
      </c>
      <c r="I78" s="107"/>
    </row>
    <row r="79" ht="22.5" hidden="1" customHeight="1">
      <c r="A79" s="90" t="s">
        <v>111</v>
      </c>
      <c r="B79" s="91" t="s">
        <v>113</v>
      </c>
      <c r="C79" s="92">
        <v>45961.0</v>
      </c>
      <c r="D79" s="93">
        <v>-59.6</v>
      </c>
      <c r="E79" s="94" t="s">
        <v>94</v>
      </c>
      <c r="F79" s="95">
        <v>45931.0</v>
      </c>
      <c r="G79" s="111" t="s">
        <v>95</v>
      </c>
      <c r="H79" s="97" t="s">
        <v>96</v>
      </c>
      <c r="I79" s="98" t="s">
        <v>133</v>
      </c>
    </row>
    <row r="80" ht="22.5" hidden="1" customHeight="1">
      <c r="A80" s="90" t="s">
        <v>111</v>
      </c>
      <c r="B80" s="91" t="s">
        <v>113</v>
      </c>
      <c r="C80" s="92">
        <v>45961.0</v>
      </c>
      <c r="D80" s="93">
        <v>-318.81</v>
      </c>
      <c r="E80" s="94" t="s">
        <v>94</v>
      </c>
      <c r="F80" s="95">
        <v>45931.0</v>
      </c>
      <c r="G80" s="111" t="s">
        <v>95</v>
      </c>
      <c r="H80" s="97" t="s">
        <v>96</v>
      </c>
      <c r="I80" s="98" t="s">
        <v>133</v>
      </c>
    </row>
    <row r="81" ht="22.5" hidden="1" customHeight="1">
      <c r="A81" s="90" t="s">
        <v>111</v>
      </c>
      <c r="B81" s="91" t="s">
        <v>112</v>
      </c>
      <c r="C81" s="92">
        <v>45962.0</v>
      </c>
      <c r="D81" s="93">
        <v>-379.5</v>
      </c>
      <c r="E81" s="94" t="s">
        <v>94</v>
      </c>
      <c r="F81" s="92">
        <v>45962.0</v>
      </c>
      <c r="G81" s="111" t="s">
        <v>95</v>
      </c>
      <c r="H81" s="97" t="s">
        <v>96</v>
      </c>
      <c r="I81" s="107"/>
    </row>
    <row r="82" ht="22.5" hidden="1" customHeight="1">
      <c r="A82" s="110" t="s">
        <v>104</v>
      </c>
      <c r="B82" s="112" t="s">
        <v>45</v>
      </c>
      <c r="C82" s="92">
        <v>45962.0</v>
      </c>
      <c r="D82" s="113">
        <v>750.0</v>
      </c>
      <c r="E82" s="102" t="s">
        <v>94</v>
      </c>
      <c r="F82" s="106">
        <f t="shared" ref="F82:F92" si="9">C82</f>
        <v>45962</v>
      </c>
      <c r="G82" s="111" t="s">
        <v>95</v>
      </c>
      <c r="H82" s="110" t="s">
        <v>106</v>
      </c>
      <c r="I82" s="107"/>
    </row>
    <row r="83" ht="22.5" hidden="1" customHeight="1">
      <c r="A83" s="90" t="s">
        <v>135</v>
      </c>
      <c r="B83" s="91" t="s">
        <v>137</v>
      </c>
      <c r="C83" s="92">
        <v>46032.0</v>
      </c>
      <c r="D83" s="93">
        <v>-2500.0</v>
      </c>
      <c r="E83" s="94" t="s">
        <v>94</v>
      </c>
      <c r="F83" s="118">
        <f t="shared" si="9"/>
        <v>46032</v>
      </c>
      <c r="G83" s="104" t="s">
        <v>95</v>
      </c>
      <c r="H83" s="97" t="s">
        <v>96</v>
      </c>
      <c r="I83" s="98"/>
    </row>
    <row r="84" ht="22.5" hidden="1" customHeight="1">
      <c r="A84" s="90" t="s">
        <v>92</v>
      </c>
      <c r="B84" s="91" t="s">
        <v>140</v>
      </c>
      <c r="C84" s="115">
        <v>46032.0</v>
      </c>
      <c r="D84" s="101">
        <v>-89.9</v>
      </c>
      <c r="E84" s="94" t="s">
        <v>94</v>
      </c>
      <c r="F84" s="115">
        <f t="shared" si="9"/>
        <v>46032</v>
      </c>
      <c r="G84" s="111" t="s">
        <v>95</v>
      </c>
      <c r="H84" s="97" t="s">
        <v>96</v>
      </c>
      <c r="I84" s="114"/>
    </row>
    <row r="85" ht="22.5" hidden="1" customHeight="1">
      <c r="A85" s="90" t="s">
        <v>141</v>
      </c>
      <c r="B85" s="91" t="s">
        <v>142</v>
      </c>
      <c r="C85" s="92">
        <v>46037.0</v>
      </c>
      <c r="D85" s="93">
        <v>-254.81</v>
      </c>
      <c r="E85" s="94" t="s">
        <v>94</v>
      </c>
      <c r="F85" s="115">
        <f t="shared" si="9"/>
        <v>46037</v>
      </c>
      <c r="G85" s="111" t="s">
        <v>95</v>
      </c>
      <c r="H85" s="97" t="s">
        <v>96</v>
      </c>
      <c r="I85" s="107"/>
    </row>
    <row r="86" ht="22.5" hidden="1" customHeight="1">
      <c r="A86" s="110" t="s">
        <v>104</v>
      </c>
      <c r="B86" s="112" t="s">
        <v>45</v>
      </c>
      <c r="C86" s="92">
        <v>46038.0</v>
      </c>
      <c r="D86" s="113">
        <v>750.0</v>
      </c>
      <c r="E86" s="94" t="s">
        <v>94</v>
      </c>
      <c r="F86" s="106">
        <f t="shared" si="9"/>
        <v>46038</v>
      </c>
      <c r="G86" s="111" t="s">
        <v>95</v>
      </c>
      <c r="H86" s="110" t="s">
        <v>106</v>
      </c>
      <c r="I86" s="107"/>
    </row>
    <row r="87" ht="22.5" hidden="1" customHeight="1">
      <c r="A87" s="90" t="s">
        <v>92</v>
      </c>
      <c r="B87" s="99" t="s">
        <v>143</v>
      </c>
      <c r="C87" s="100">
        <v>46038.0</v>
      </c>
      <c r="D87" s="101">
        <v>-236.75</v>
      </c>
      <c r="E87" s="94" t="s">
        <v>94</v>
      </c>
      <c r="F87" s="106">
        <f t="shared" si="9"/>
        <v>46038</v>
      </c>
      <c r="G87" s="111" t="s">
        <v>95</v>
      </c>
      <c r="H87" s="97" t="s">
        <v>96</v>
      </c>
      <c r="I87" s="105"/>
    </row>
    <row r="88" ht="22.5" hidden="1" customHeight="1">
      <c r="A88" s="110" t="s">
        <v>104</v>
      </c>
      <c r="B88" s="112" t="s">
        <v>45</v>
      </c>
      <c r="C88" s="92">
        <v>46045.0</v>
      </c>
      <c r="D88" s="113">
        <v>750.0</v>
      </c>
      <c r="E88" s="94" t="s">
        <v>94</v>
      </c>
      <c r="F88" s="106">
        <f t="shared" si="9"/>
        <v>46045</v>
      </c>
      <c r="G88" s="111" t="s">
        <v>95</v>
      </c>
      <c r="H88" s="110" t="s">
        <v>106</v>
      </c>
      <c r="I88" s="107"/>
    </row>
    <row r="89" ht="22.5" hidden="1" customHeight="1">
      <c r="A89" s="110" t="s">
        <v>104</v>
      </c>
      <c r="B89" s="112" t="s">
        <v>45</v>
      </c>
      <c r="C89" s="92">
        <v>46052.0</v>
      </c>
      <c r="D89" s="113">
        <v>750.0</v>
      </c>
      <c r="E89" s="94" t="s">
        <v>94</v>
      </c>
      <c r="F89" s="106">
        <f t="shared" si="9"/>
        <v>46052</v>
      </c>
      <c r="G89" s="111" t="s">
        <v>95</v>
      </c>
      <c r="H89" s="110" t="s">
        <v>106</v>
      </c>
      <c r="I89" s="107"/>
    </row>
    <row r="90" ht="22.5" hidden="1" customHeight="1">
      <c r="A90" s="97" t="s">
        <v>92</v>
      </c>
      <c r="B90" s="99" t="s">
        <v>19</v>
      </c>
      <c r="C90" s="100">
        <v>46054.0</v>
      </c>
      <c r="D90" s="101">
        <v>-1000.0</v>
      </c>
      <c r="E90" s="94" t="s">
        <v>94</v>
      </c>
      <c r="F90" s="106">
        <f t="shared" si="9"/>
        <v>46054</v>
      </c>
      <c r="G90" s="104" t="s">
        <v>95</v>
      </c>
      <c r="H90" s="97" t="s">
        <v>96</v>
      </c>
      <c r="I90" s="105"/>
    </row>
    <row r="91" ht="22.5" hidden="1" customHeight="1">
      <c r="A91" s="97" t="s">
        <v>109</v>
      </c>
      <c r="B91" s="99" t="s">
        <v>22</v>
      </c>
      <c r="C91" s="100">
        <v>46054.0</v>
      </c>
      <c r="D91" s="101">
        <v>-1000.0</v>
      </c>
      <c r="E91" s="102" t="s">
        <v>94</v>
      </c>
      <c r="F91" s="106">
        <f t="shared" si="9"/>
        <v>46054</v>
      </c>
      <c r="G91" s="104" t="s">
        <v>95</v>
      </c>
      <c r="H91" s="97" t="s">
        <v>96</v>
      </c>
      <c r="I91" s="105"/>
    </row>
    <row r="92" ht="22.5" hidden="1" customHeight="1">
      <c r="A92" s="97" t="s">
        <v>109</v>
      </c>
      <c r="B92" s="99" t="s">
        <v>110</v>
      </c>
      <c r="C92" s="100">
        <v>46054.0</v>
      </c>
      <c r="D92" s="101">
        <v>-550.0</v>
      </c>
      <c r="E92" s="102" t="s">
        <v>94</v>
      </c>
      <c r="F92" s="106">
        <f t="shared" si="9"/>
        <v>46054</v>
      </c>
      <c r="G92" s="104" t="s">
        <v>95</v>
      </c>
      <c r="H92" s="97" t="s">
        <v>96</v>
      </c>
      <c r="I92" s="105"/>
    </row>
    <row r="93" ht="22.5" hidden="1" customHeight="1">
      <c r="A93" s="90" t="s">
        <v>111</v>
      </c>
      <c r="B93" s="91" t="s">
        <v>112</v>
      </c>
      <c r="C93" s="92">
        <v>46054.0</v>
      </c>
      <c r="D93" s="93">
        <v>-379.5</v>
      </c>
      <c r="E93" s="94" t="s">
        <v>94</v>
      </c>
      <c r="F93" s="92"/>
      <c r="G93" s="111" t="s">
        <v>95</v>
      </c>
      <c r="H93" s="97" t="s">
        <v>96</v>
      </c>
      <c r="I93" s="107"/>
    </row>
    <row r="94" ht="22.5" hidden="1" customHeight="1">
      <c r="A94" s="97" t="s">
        <v>92</v>
      </c>
      <c r="B94" s="99" t="s">
        <v>19</v>
      </c>
      <c r="C94" s="100">
        <v>45962.0</v>
      </c>
      <c r="D94" s="101">
        <v>-1000.0</v>
      </c>
      <c r="E94" s="102" t="s">
        <v>94</v>
      </c>
      <c r="F94" s="106">
        <f t="shared" ref="F94:F96" si="10">C94</f>
        <v>45962</v>
      </c>
      <c r="G94" s="104" t="s">
        <v>95</v>
      </c>
      <c r="H94" s="97" t="s">
        <v>96</v>
      </c>
      <c r="I94" s="105"/>
    </row>
    <row r="95" ht="22.5" hidden="1" customHeight="1">
      <c r="A95" s="97" t="s">
        <v>109</v>
      </c>
      <c r="B95" s="99" t="s">
        <v>15</v>
      </c>
      <c r="C95" s="100">
        <v>46054.0</v>
      </c>
      <c r="D95" s="101">
        <v>-700.0</v>
      </c>
      <c r="E95" s="102" t="s">
        <v>94</v>
      </c>
      <c r="F95" s="106">
        <f t="shared" si="10"/>
        <v>46054</v>
      </c>
      <c r="G95" s="104" t="s">
        <v>95</v>
      </c>
      <c r="H95" s="97" t="s">
        <v>96</v>
      </c>
      <c r="I95" s="105"/>
    </row>
    <row r="96" ht="22.5" hidden="1" customHeight="1">
      <c r="A96" s="97" t="s">
        <v>111</v>
      </c>
      <c r="B96" s="99" t="s">
        <v>128</v>
      </c>
      <c r="C96" s="100">
        <v>45963.0</v>
      </c>
      <c r="D96" s="101">
        <v>-58.96</v>
      </c>
      <c r="E96" s="102" t="s">
        <v>94</v>
      </c>
      <c r="F96" s="106">
        <f t="shared" si="10"/>
        <v>45963</v>
      </c>
      <c r="G96" s="104" t="s">
        <v>95</v>
      </c>
      <c r="H96" s="97" t="s">
        <v>96</v>
      </c>
      <c r="I96" s="105"/>
    </row>
    <row r="97" ht="22.5" hidden="1" customHeight="1">
      <c r="A97" s="90" t="s">
        <v>111</v>
      </c>
      <c r="B97" s="91" t="s">
        <v>113</v>
      </c>
      <c r="C97" s="92">
        <v>45964.0</v>
      </c>
      <c r="D97" s="93">
        <v>-388.13</v>
      </c>
      <c r="E97" s="94" t="s">
        <v>94</v>
      </c>
      <c r="F97" s="95">
        <v>45972.0</v>
      </c>
      <c r="G97" s="111" t="s">
        <v>95</v>
      </c>
      <c r="H97" s="97" t="s">
        <v>96</v>
      </c>
      <c r="I97" s="98" t="s">
        <v>144</v>
      </c>
    </row>
    <row r="98" ht="22.5" hidden="1" customHeight="1">
      <c r="A98" s="97" t="s">
        <v>92</v>
      </c>
      <c r="B98" s="99" t="s">
        <v>98</v>
      </c>
      <c r="C98" s="100">
        <v>45966.0</v>
      </c>
      <c r="D98" s="101">
        <v>-402.71</v>
      </c>
      <c r="E98" s="102" t="s">
        <v>94</v>
      </c>
      <c r="F98" s="103">
        <v>45972.0</v>
      </c>
      <c r="G98" s="104" t="s">
        <v>95</v>
      </c>
      <c r="H98" s="97" t="s">
        <v>96</v>
      </c>
      <c r="I98" s="105"/>
    </row>
    <row r="99" ht="22.5" hidden="1" customHeight="1">
      <c r="A99" s="97" t="s">
        <v>92</v>
      </c>
      <c r="B99" s="99" t="s">
        <v>116</v>
      </c>
      <c r="C99" s="100">
        <v>45966.0</v>
      </c>
      <c r="D99" s="101">
        <v>-1024.83</v>
      </c>
      <c r="E99" s="102" t="s">
        <v>94</v>
      </c>
      <c r="F99" s="103">
        <v>45972.0</v>
      </c>
      <c r="G99" s="104" t="s">
        <v>95</v>
      </c>
      <c r="H99" s="97" t="s">
        <v>96</v>
      </c>
      <c r="I99" s="105"/>
    </row>
    <row r="100" ht="22.5" hidden="1" customHeight="1">
      <c r="A100" s="90" t="s">
        <v>92</v>
      </c>
      <c r="B100" s="91" t="s">
        <v>70</v>
      </c>
      <c r="C100" s="92">
        <v>45966.0</v>
      </c>
      <c r="D100" s="93">
        <v>800.0</v>
      </c>
      <c r="E100" s="102" t="s">
        <v>94</v>
      </c>
      <c r="F100" s="92">
        <f t="shared" ref="F100:F105" si="11">C100</f>
        <v>45966</v>
      </c>
      <c r="G100" s="111" t="s">
        <v>95</v>
      </c>
      <c r="H100" s="97" t="s">
        <v>106</v>
      </c>
      <c r="I100" s="107"/>
    </row>
    <row r="101" ht="22.5" hidden="1" customHeight="1">
      <c r="A101" s="90" t="s">
        <v>99</v>
      </c>
      <c r="B101" s="91" t="s">
        <v>115</v>
      </c>
      <c r="C101" s="92">
        <v>45966.0</v>
      </c>
      <c r="D101" s="93">
        <v>-3600.0</v>
      </c>
      <c r="E101" s="102" t="s">
        <v>94</v>
      </c>
      <c r="F101" s="92">
        <f t="shared" si="11"/>
        <v>45966</v>
      </c>
      <c r="G101" s="111" t="s">
        <v>95</v>
      </c>
      <c r="H101" s="97" t="s">
        <v>96</v>
      </c>
      <c r="I101" s="107"/>
    </row>
    <row r="102" ht="22.5" hidden="1" customHeight="1">
      <c r="A102" s="110" t="s">
        <v>104</v>
      </c>
      <c r="B102" s="91" t="s">
        <v>105</v>
      </c>
      <c r="C102" s="92">
        <v>45966.0</v>
      </c>
      <c r="D102" s="93">
        <v>19000.0</v>
      </c>
      <c r="E102" s="102" t="s">
        <v>94</v>
      </c>
      <c r="F102" s="106">
        <f t="shared" si="11"/>
        <v>45966</v>
      </c>
      <c r="G102" s="111" t="s">
        <v>95</v>
      </c>
      <c r="H102" s="110" t="s">
        <v>106</v>
      </c>
      <c r="I102" s="107"/>
    </row>
    <row r="103" ht="22.5" hidden="1" customHeight="1">
      <c r="A103" s="97" t="s">
        <v>92</v>
      </c>
      <c r="B103" s="99" t="s">
        <v>145</v>
      </c>
      <c r="C103" s="100">
        <v>45967.0</v>
      </c>
      <c r="D103" s="101">
        <v>-160.29</v>
      </c>
      <c r="E103" s="102" t="s">
        <v>94</v>
      </c>
      <c r="F103" s="103">
        <f t="shared" si="11"/>
        <v>45967</v>
      </c>
      <c r="G103" s="96" t="s">
        <v>95</v>
      </c>
      <c r="H103" s="97" t="s">
        <v>96</v>
      </c>
      <c r="I103" s="105"/>
    </row>
    <row r="104" ht="22.5" hidden="1" customHeight="1">
      <c r="A104" s="110" t="s">
        <v>104</v>
      </c>
      <c r="B104" s="112" t="s">
        <v>45</v>
      </c>
      <c r="C104" s="92">
        <v>45969.0</v>
      </c>
      <c r="D104" s="113">
        <v>750.0</v>
      </c>
      <c r="E104" s="102" t="s">
        <v>94</v>
      </c>
      <c r="F104" s="106">
        <f t="shared" si="11"/>
        <v>45969</v>
      </c>
      <c r="G104" s="111" t="s">
        <v>95</v>
      </c>
      <c r="H104" s="110" t="s">
        <v>106</v>
      </c>
      <c r="I104" s="107"/>
    </row>
    <row r="105" ht="22.5" hidden="1" customHeight="1">
      <c r="A105" s="110" t="s">
        <v>104</v>
      </c>
      <c r="B105" s="112" t="s">
        <v>118</v>
      </c>
      <c r="C105" s="92">
        <v>45970.0</v>
      </c>
      <c r="D105" s="93">
        <v>12500.0</v>
      </c>
      <c r="E105" s="94" t="s">
        <v>94</v>
      </c>
      <c r="F105" s="106">
        <f t="shared" si="11"/>
        <v>45970</v>
      </c>
      <c r="G105" s="111" t="s">
        <v>95</v>
      </c>
      <c r="H105" s="110" t="s">
        <v>106</v>
      </c>
      <c r="I105" s="98" t="s">
        <v>146</v>
      </c>
    </row>
    <row r="106" ht="22.5" hidden="1" customHeight="1">
      <c r="A106" s="90" t="s">
        <v>135</v>
      </c>
      <c r="B106" s="91" t="s">
        <v>137</v>
      </c>
      <c r="C106" s="92">
        <v>45940.0</v>
      </c>
      <c r="D106" s="93">
        <v>-2462.25</v>
      </c>
      <c r="E106" s="102" t="s">
        <v>94</v>
      </c>
      <c r="F106" s="119">
        <v>45961.0</v>
      </c>
      <c r="G106" s="104" t="s">
        <v>95</v>
      </c>
      <c r="H106" s="97" t="s">
        <v>96</v>
      </c>
      <c r="I106" s="107"/>
    </row>
    <row r="107" ht="22.5" hidden="1" customHeight="1">
      <c r="A107" s="90" t="s">
        <v>135</v>
      </c>
      <c r="B107" s="91" t="s">
        <v>137</v>
      </c>
      <c r="C107" s="92">
        <v>45971.0</v>
      </c>
      <c r="D107" s="93">
        <v>-2500.0</v>
      </c>
      <c r="E107" s="102" t="s">
        <v>94</v>
      </c>
      <c r="F107" s="118">
        <f t="shared" ref="F107:F110" si="12">C107</f>
        <v>45971</v>
      </c>
      <c r="G107" s="104" t="s">
        <v>95</v>
      </c>
      <c r="H107" s="97" t="s">
        <v>96</v>
      </c>
      <c r="I107" s="98"/>
    </row>
    <row r="108" ht="22.5" hidden="1" customHeight="1">
      <c r="A108" s="97" t="s">
        <v>109</v>
      </c>
      <c r="B108" s="99" t="s">
        <v>17</v>
      </c>
      <c r="C108" s="100">
        <v>46054.0</v>
      </c>
      <c r="D108" s="101">
        <v>-1924.0</v>
      </c>
      <c r="E108" s="102" t="s">
        <v>94</v>
      </c>
      <c r="F108" s="106">
        <f t="shared" si="12"/>
        <v>46054</v>
      </c>
      <c r="G108" s="104" t="s">
        <v>95</v>
      </c>
      <c r="H108" s="97" t="s">
        <v>96</v>
      </c>
      <c r="I108" s="105"/>
    </row>
    <row r="109" ht="22.5" hidden="1" customHeight="1">
      <c r="A109" s="97" t="s">
        <v>92</v>
      </c>
      <c r="B109" s="99" t="s">
        <v>132</v>
      </c>
      <c r="C109" s="100">
        <v>45971.0</v>
      </c>
      <c r="D109" s="101">
        <v>-563.17</v>
      </c>
      <c r="E109" s="102" t="s">
        <v>94</v>
      </c>
      <c r="F109" s="106">
        <f t="shared" si="12"/>
        <v>45971</v>
      </c>
      <c r="G109" s="104" t="s">
        <v>95</v>
      </c>
      <c r="H109" s="97" t="s">
        <v>96</v>
      </c>
      <c r="I109" s="105"/>
    </row>
    <row r="110" ht="22.5" hidden="1" customHeight="1">
      <c r="A110" s="90" t="s">
        <v>92</v>
      </c>
      <c r="B110" s="91" t="s">
        <v>72</v>
      </c>
      <c r="C110" s="92">
        <v>45971.0</v>
      </c>
      <c r="D110" s="93">
        <v>450.0</v>
      </c>
      <c r="E110" s="102" t="s">
        <v>94</v>
      </c>
      <c r="F110" s="106">
        <f t="shared" si="12"/>
        <v>45971</v>
      </c>
      <c r="G110" s="111" t="s">
        <v>95</v>
      </c>
      <c r="H110" s="97" t="s">
        <v>106</v>
      </c>
      <c r="I110" s="107"/>
    </row>
    <row r="111" ht="22.5" hidden="1" customHeight="1">
      <c r="A111" s="90" t="s">
        <v>111</v>
      </c>
      <c r="B111" s="91" t="s">
        <v>113</v>
      </c>
      <c r="C111" s="92">
        <v>45973.0</v>
      </c>
      <c r="D111" s="93">
        <v>-1324.53</v>
      </c>
      <c r="E111" s="94" t="s">
        <v>94</v>
      </c>
      <c r="F111" s="95">
        <v>45972.0</v>
      </c>
      <c r="G111" s="111" t="s">
        <v>95</v>
      </c>
      <c r="H111" s="97" t="s">
        <v>96</v>
      </c>
      <c r="I111" s="98" t="s">
        <v>147</v>
      </c>
    </row>
    <row r="112" ht="22.5" hidden="1" customHeight="1">
      <c r="A112" s="120" t="s">
        <v>104</v>
      </c>
      <c r="B112" s="121" t="s">
        <v>118</v>
      </c>
      <c r="C112" s="100">
        <v>45975.0</v>
      </c>
      <c r="D112" s="101">
        <v>0.0</v>
      </c>
      <c r="E112" s="102" t="s">
        <v>94</v>
      </c>
      <c r="F112" s="106">
        <f t="shared" ref="F112:F114" si="13">C112</f>
        <v>45975</v>
      </c>
      <c r="G112" s="122" t="s">
        <v>95</v>
      </c>
      <c r="H112" s="120" t="s">
        <v>106</v>
      </c>
      <c r="I112" s="105"/>
    </row>
    <row r="113" ht="22.5" hidden="1" customHeight="1">
      <c r="A113" s="110" t="s">
        <v>104</v>
      </c>
      <c r="B113" s="112" t="s">
        <v>45</v>
      </c>
      <c r="C113" s="92">
        <v>45976.0</v>
      </c>
      <c r="D113" s="113">
        <v>750.0</v>
      </c>
      <c r="E113" s="102" t="s">
        <v>94</v>
      </c>
      <c r="F113" s="106">
        <f t="shared" si="13"/>
        <v>45976</v>
      </c>
      <c r="G113" s="111" t="s">
        <v>95</v>
      </c>
      <c r="H113" s="110" t="s">
        <v>106</v>
      </c>
      <c r="I113" s="107"/>
    </row>
    <row r="114" ht="22.5" hidden="1" customHeight="1">
      <c r="A114" s="90" t="s">
        <v>99</v>
      </c>
      <c r="B114" s="91" t="s">
        <v>115</v>
      </c>
      <c r="C114" s="92">
        <v>46058.0</v>
      </c>
      <c r="D114" s="93">
        <v>-3600.0</v>
      </c>
      <c r="E114" s="94" t="s">
        <v>94</v>
      </c>
      <c r="F114" s="92">
        <f t="shared" si="13"/>
        <v>46058</v>
      </c>
      <c r="G114" s="123"/>
      <c r="H114" s="124"/>
      <c r="I114" s="107"/>
    </row>
    <row r="115" ht="22.5" hidden="1" customHeight="1">
      <c r="A115" s="90" t="s">
        <v>111</v>
      </c>
      <c r="B115" s="91" t="s">
        <v>113</v>
      </c>
      <c r="C115" s="92">
        <v>45980.0</v>
      </c>
      <c r="D115" s="93">
        <v>-1219.77</v>
      </c>
      <c r="E115" s="94" t="s">
        <v>94</v>
      </c>
      <c r="F115" s="95">
        <v>45972.0</v>
      </c>
      <c r="G115" s="111" t="s">
        <v>95</v>
      </c>
      <c r="H115" s="97" t="s">
        <v>96</v>
      </c>
      <c r="I115" s="98" t="s">
        <v>148</v>
      </c>
    </row>
    <row r="116" ht="22.5" hidden="1" customHeight="1">
      <c r="A116" s="90" t="s">
        <v>111</v>
      </c>
      <c r="B116" s="91" t="s">
        <v>113</v>
      </c>
      <c r="C116" s="92">
        <v>45982.0</v>
      </c>
      <c r="D116" s="93">
        <v>-998.68</v>
      </c>
      <c r="E116" s="94" t="s">
        <v>94</v>
      </c>
      <c r="F116" s="95">
        <v>45972.0</v>
      </c>
      <c r="G116" s="111" t="s">
        <v>95</v>
      </c>
      <c r="H116" s="97" t="s">
        <v>96</v>
      </c>
      <c r="I116" s="98" t="s">
        <v>149</v>
      </c>
    </row>
    <row r="117" ht="22.5" hidden="1" customHeight="1">
      <c r="A117" s="110" t="s">
        <v>104</v>
      </c>
      <c r="B117" s="112" t="s">
        <v>45</v>
      </c>
      <c r="C117" s="92">
        <v>45983.0</v>
      </c>
      <c r="D117" s="113">
        <v>750.0</v>
      </c>
      <c r="E117" s="102" t="s">
        <v>94</v>
      </c>
      <c r="F117" s="106">
        <f t="shared" ref="F117:F118" si="14">C117</f>
        <v>45983</v>
      </c>
      <c r="G117" s="111" t="s">
        <v>95</v>
      </c>
      <c r="H117" s="110" t="s">
        <v>106</v>
      </c>
      <c r="I117" s="107"/>
    </row>
    <row r="118" ht="22.5" hidden="1" customHeight="1">
      <c r="A118" s="110" t="s">
        <v>104</v>
      </c>
      <c r="B118" s="112" t="s">
        <v>45</v>
      </c>
      <c r="C118" s="92">
        <v>45990.0</v>
      </c>
      <c r="D118" s="113">
        <v>750.0</v>
      </c>
      <c r="E118" s="102" t="s">
        <v>94</v>
      </c>
      <c r="F118" s="106">
        <f t="shared" si="14"/>
        <v>45990</v>
      </c>
      <c r="G118" s="111" t="s">
        <v>95</v>
      </c>
      <c r="H118" s="110" t="s">
        <v>106</v>
      </c>
      <c r="I118" s="107"/>
    </row>
    <row r="119" ht="22.5" hidden="1" customHeight="1">
      <c r="A119" s="90" t="s">
        <v>111</v>
      </c>
      <c r="B119" s="91" t="s">
        <v>112</v>
      </c>
      <c r="C119" s="92">
        <v>45992.0</v>
      </c>
      <c r="D119" s="93">
        <v>-379.5</v>
      </c>
      <c r="E119" s="94" t="s">
        <v>94</v>
      </c>
      <c r="F119" s="92">
        <v>46000.0</v>
      </c>
      <c r="G119" s="111" t="s">
        <v>95</v>
      </c>
      <c r="H119" s="97" t="s">
        <v>96</v>
      </c>
      <c r="I119" s="107"/>
    </row>
    <row r="120" ht="22.5" hidden="1" customHeight="1">
      <c r="A120" s="110" t="s">
        <v>104</v>
      </c>
      <c r="B120" s="112" t="s">
        <v>118</v>
      </c>
      <c r="C120" s="92">
        <v>45992.0</v>
      </c>
      <c r="D120" s="93">
        <v>0.0</v>
      </c>
      <c r="E120" s="102" t="s">
        <v>94</v>
      </c>
      <c r="F120" s="106">
        <f t="shared" ref="F120:F124" si="15">C120</f>
        <v>45992</v>
      </c>
      <c r="G120" s="111" t="s">
        <v>95</v>
      </c>
      <c r="H120" s="110" t="s">
        <v>106</v>
      </c>
      <c r="I120" s="107"/>
    </row>
    <row r="121" ht="22.5" hidden="1" customHeight="1">
      <c r="A121" s="90" t="s">
        <v>92</v>
      </c>
      <c r="B121" s="91" t="s">
        <v>70</v>
      </c>
      <c r="C121" s="92">
        <v>46058.0</v>
      </c>
      <c r="D121" s="93">
        <v>800.0</v>
      </c>
      <c r="E121" s="94" t="s">
        <v>94</v>
      </c>
      <c r="F121" s="92">
        <f t="shared" si="15"/>
        <v>46058</v>
      </c>
      <c r="G121" s="111" t="s">
        <v>95</v>
      </c>
      <c r="H121" s="97" t="s">
        <v>106</v>
      </c>
      <c r="I121" s="107"/>
    </row>
    <row r="122" ht="22.5" hidden="1" customHeight="1">
      <c r="A122" s="97" t="s">
        <v>92</v>
      </c>
      <c r="B122" s="99" t="s">
        <v>117</v>
      </c>
      <c r="C122" s="100">
        <v>46058.0</v>
      </c>
      <c r="D122" s="101">
        <v>-929.98</v>
      </c>
      <c r="E122" s="94" t="s">
        <v>94</v>
      </c>
      <c r="F122" s="103">
        <f t="shared" si="15"/>
        <v>46058</v>
      </c>
      <c r="G122" s="104" t="s">
        <v>95</v>
      </c>
      <c r="H122" s="97" t="s">
        <v>96</v>
      </c>
      <c r="I122" s="105"/>
    </row>
    <row r="123" ht="22.5" hidden="1" customHeight="1">
      <c r="A123" s="90" t="s">
        <v>135</v>
      </c>
      <c r="B123" s="91" t="s">
        <v>137</v>
      </c>
      <c r="C123" s="92">
        <v>46001.0</v>
      </c>
      <c r="D123" s="93">
        <v>-2500.0</v>
      </c>
      <c r="E123" s="102" t="s">
        <v>94</v>
      </c>
      <c r="F123" s="118">
        <f t="shared" si="15"/>
        <v>46001</v>
      </c>
      <c r="G123" s="104" t="s">
        <v>95</v>
      </c>
      <c r="H123" s="97" t="s">
        <v>96</v>
      </c>
      <c r="I123" s="98"/>
    </row>
    <row r="124" ht="22.5" hidden="1" customHeight="1">
      <c r="A124" s="110" t="s">
        <v>104</v>
      </c>
      <c r="B124" s="91" t="s">
        <v>105</v>
      </c>
      <c r="C124" s="92">
        <v>46058.0</v>
      </c>
      <c r="D124" s="93">
        <v>19000.0</v>
      </c>
      <c r="E124" s="94" t="s">
        <v>94</v>
      </c>
      <c r="F124" s="106">
        <f t="shared" si="15"/>
        <v>46058</v>
      </c>
      <c r="G124" s="111" t="s">
        <v>95</v>
      </c>
      <c r="H124" s="110" t="s">
        <v>106</v>
      </c>
      <c r="I124" s="107"/>
    </row>
    <row r="125" ht="22.5" hidden="1" customHeight="1">
      <c r="A125" s="97" t="s">
        <v>92</v>
      </c>
      <c r="B125" s="99" t="s">
        <v>101</v>
      </c>
      <c r="C125" s="100">
        <v>46058.0</v>
      </c>
      <c r="D125" s="101">
        <v>428.07</v>
      </c>
      <c r="E125" s="102" t="s">
        <v>94</v>
      </c>
      <c r="F125" s="103">
        <v>46000.0</v>
      </c>
      <c r="G125" s="104" t="s">
        <v>95</v>
      </c>
      <c r="H125" s="97" t="s">
        <v>96</v>
      </c>
      <c r="I125" s="105"/>
    </row>
    <row r="126" ht="22.5" hidden="1" customHeight="1">
      <c r="A126" s="90" t="s">
        <v>92</v>
      </c>
      <c r="B126" s="91" t="s">
        <v>72</v>
      </c>
      <c r="C126" s="92">
        <v>46063.0</v>
      </c>
      <c r="D126" s="93">
        <v>450.0</v>
      </c>
      <c r="E126" s="94" t="s">
        <v>94</v>
      </c>
      <c r="F126" s="106">
        <f t="shared" ref="F126:F137" si="16">C126</f>
        <v>46063</v>
      </c>
      <c r="G126" s="111" t="s">
        <v>95</v>
      </c>
      <c r="H126" s="97" t="s">
        <v>106</v>
      </c>
      <c r="I126" s="107"/>
    </row>
    <row r="127" ht="22.5" hidden="1" customHeight="1">
      <c r="A127" s="97" t="s">
        <v>92</v>
      </c>
      <c r="B127" s="99" t="s">
        <v>132</v>
      </c>
      <c r="C127" s="100">
        <v>46063.0</v>
      </c>
      <c r="D127" s="101">
        <v>-563.17</v>
      </c>
      <c r="E127" s="102" t="s">
        <v>94</v>
      </c>
      <c r="F127" s="106">
        <f t="shared" si="16"/>
        <v>46063</v>
      </c>
      <c r="G127" s="104" t="s">
        <v>95</v>
      </c>
      <c r="H127" s="97" t="s">
        <v>96</v>
      </c>
      <c r="I127" s="105"/>
    </row>
    <row r="128" ht="22.5" hidden="1" customHeight="1">
      <c r="A128" s="90" t="s">
        <v>135</v>
      </c>
      <c r="B128" s="99" t="s">
        <v>136</v>
      </c>
      <c r="C128" s="100">
        <v>46063.0</v>
      </c>
      <c r="D128" s="101">
        <v>-58.47</v>
      </c>
      <c r="E128" s="94" t="s">
        <v>94</v>
      </c>
      <c r="F128" s="106">
        <f t="shared" si="16"/>
        <v>46063</v>
      </c>
      <c r="G128" s="111" t="s">
        <v>95</v>
      </c>
      <c r="H128" s="97" t="s">
        <v>96</v>
      </c>
      <c r="I128" s="105"/>
    </row>
    <row r="129" ht="22.5" hidden="1" customHeight="1">
      <c r="A129" s="90" t="s">
        <v>135</v>
      </c>
      <c r="B129" s="91" t="s">
        <v>137</v>
      </c>
      <c r="C129" s="92">
        <v>46063.0</v>
      </c>
      <c r="D129" s="93">
        <v>-2500.0</v>
      </c>
      <c r="E129" s="94" t="s">
        <v>94</v>
      </c>
      <c r="F129" s="118">
        <f t="shared" si="16"/>
        <v>46063</v>
      </c>
      <c r="G129" s="104" t="s">
        <v>95</v>
      </c>
      <c r="H129" s="97" t="s">
        <v>96</v>
      </c>
      <c r="I129" s="98"/>
    </row>
    <row r="130" ht="22.5" hidden="1" customHeight="1">
      <c r="A130" s="90" t="s">
        <v>92</v>
      </c>
      <c r="B130" s="91" t="s">
        <v>140</v>
      </c>
      <c r="C130" s="115">
        <v>46063.0</v>
      </c>
      <c r="D130" s="101">
        <v>-89.9</v>
      </c>
      <c r="E130" s="94" t="s">
        <v>94</v>
      </c>
      <c r="F130" s="115">
        <f t="shared" si="16"/>
        <v>46063</v>
      </c>
      <c r="G130" s="111" t="s">
        <v>95</v>
      </c>
      <c r="H130" s="97" t="s">
        <v>96</v>
      </c>
      <c r="I130" s="114"/>
    </row>
    <row r="131" ht="22.5" hidden="1" customHeight="1">
      <c r="A131" s="90" t="s">
        <v>92</v>
      </c>
      <c r="B131" s="99" t="s">
        <v>143</v>
      </c>
      <c r="C131" s="100">
        <v>46069.0</v>
      </c>
      <c r="D131" s="101">
        <v>-236.75</v>
      </c>
      <c r="E131" s="125" t="s">
        <v>102</v>
      </c>
      <c r="F131" s="106">
        <f t="shared" si="16"/>
        <v>46069</v>
      </c>
      <c r="G131" s="111" t="s">
        <v>95</v>
      </c>
      <c r="H131" s="97" t="s">
        <v>96</v>
      </c>
      <c r="I131" s="105"/>
    </row>
    <row r="132" ht="22.5" hidden="1" customHeight="1">
      <c r="A132" s="97" t="s">
        <v>92</v>
      </c>
      <c r="B132" s="99" t="s">
        <v>19</v>
      </c>
      <c r="C132" s="100">
        <v>46082.0</v>
      </c>
      <c r="D132" s="101">
        <v>-1000.0</v>
      </c>
      <c r="E132" s="102" t="s">
        <v>94</v>
      </c>
      <c r="F132" s="106">
        <f t="shared" si="16"/>
        <v>46082</v>
      </c>
      <c r="G132" s="104" t="s">
        <v>95</v>
      </c>
      <c r="H132" s="97" t="s">
        <v>96</v>
      </c>
      <c r="I132" s="105"/>
    </row>
    <row r="133" ht="22.5" hidden="1" customHeight="1">
      <c r="A133" s="97" t="s">
        <v>109</v>
      </c>
      <c r="B133" s="99" t="s">
        <v>22</v>
      </c>
      <c r="C133" s="100">
        <v>46082.0</v>
      </c>
      <c r="D133" s="101">
        <v>-1000.0</v>
      </c>
      <c r="E133" s="102" t="s">
        <v>94</v>
      </c>
      <c r="F133" s="106">
        <f t="shared" si="16"/>
        <v>46082</v>
      </c>
      <c r="G133" s="104" t="s">
        <v>95</v>
      </c>
      <c r="H133" s="97" t="s">
        <v>96</v>
      </c>
      <c r="I133" s="105"/>
    </row>
    <row r="134" ht="22.5" hidden="1" customHeight="1">
      <c r="A134" s="90" t="s">
        <v>135</v>
      </c>
      <c r="B134" s="91" t="s">
        <v>137</v>
      </c>
      <c r="C134" s="92">
        <v>46397.0</v>
      </c>
      <c r="D134" s="93">
        <v>-2500.0</v>
      </c>
      <c r="E134" s="94" t="s">
        <v>102</v>
      </c>
      <c r="F134" s="118">
        <f t="shared" si="16"/>
        <v>46397</v>
      </c>
      <c r="G134" s="104" t="s">
        <v>95</v>
      </c>
      <c r="H134" s="97" t="s">
        <v>96</v>
      </c>
      <c r="I134" s="98" t="s">
        <v>66</v>
      </c>
    </row>
    <row r="135" ht="22.5" hidden="1" customHeight="1">
      <c r="A135" s="90" t="s">
        <v>135</v>
      </c>
      <c r="B135" s="91" t="s">
        <v>137</v>
      </c>
      <c r="C135" s="92">
        <v>46428.0</v>
      </c>
      <c r="D135" s="93">
        <v>-2500.0</v>
      </c>
      <c r="E135" s="94" t="s">
        <v>102</v>
      </c>
      <c r="F135" s="118">
        <f t="shared" si="16"/>
        <v>46428</v>
      </c>
      <c r="G135" s="104" t="s">
        <v>95</v>
      </c>
      <c r="H135" s="97" t="s">
        <v>96</v>
      </c>
      <c r="I135" s="98" t="s">
        <v>66</v>
      </c>
    </row>
    <row r="136" ht="22.5" hidden="1" customHeight="1">
      <c r="A136" s="90" t="s">
        <v>135</v>
      </c>
      <c r="B136" s="91" t="s">
        <v>137</v>
      </c>
      <c r="C136" s="92">
        <v>46456.0</v>
      </c>
      <c r="D136" s="93">
        <v>-2500.0</v>
      </c>
      <c r="E136" s="94" t="s">
        <v>102</v>
      </c>
      <c r="F136" s="118">
        <f t="shared" si="16"/>
        <v>46456</v>
      </c>
      <c r="G136" s="104" t="s">
        <v>95</v>
      </c>
      <c r="H136" s="97" t="s">
        <v>96</v>
      </c>
      <c r="I136" s="98" t="s">
        <v>66</v>
      </c>
    </row>
    <row r="137" ht="22.5" hidden="1" customHeight="1">
      <c r="A137" s="97" t="s">
        <v>109</v>
      </c>
      <c r="B137" s="99" t="s">
        <v>110</v>
      </c>
      <c r="C137" s="100">
        <v>46082.0</v>
      </c>
      <c r="D137" s="101">
        <v>-550.0</v>
      </c>
      <c r="E137" s="102" t="s">
        <v>94</v>
      </c>
      <c r="F137" s="106">
        <f t="shared" si="16"/>
        <v>46082</v>
      </c>
      <c r="G137" s="104" t="s">
        <v>95</v>
      </c>
      <c r="H137" s="97" t="s">
        <v>96</v>
      </c>
      <c r="I137" s="105"/>
    </row>
    <row r="138" ht="22.5" hidden="1" customHeight="1">
      <c r="A138" s="90" t="s">
        <v>92</v>
      </c>
      <c r="B138" s="91" t="s">
        <v>140</v>
      </c>
      <c r="C138" s="92">
        <v>45910.0</v>
      </c>
      <c r="D138" s="93">
        <v>-95.47</v>
      </c>
      <c r="E138" s="94" t="s">
        <v>94</v>
      </c>
      <c r="F138" s="95">
        <v>45931.0</v>
      </c>
      <c r="G138" s="111" t="s">
        <v>95</v>
      </c>
      <c r="H138" s="97" t="s">
        <v>96</v>
      </c>
      <c r="I138" s="107"/>
    </row>
    <row r="139" ht="22.5" hidden="1" customHeight="1">
      <c r="A139" s="126" t="s">
        <v>92</v>
      </c>
      <c r="B139" s="121" t="s">
        <v>140</v>
      </c>
      <c r="C139" s="100">
        <v>45940.0</v>
      </c>
      <c r="D139" s="101">
        <v>-89.9</v>
      </c>
      <c r="E139" s="127" t="s">
        <v>94</v>
      </c>
      <c r="F139" s="128">
        <v>45931.0</v>
      </c>
      <c r="G139" s="129" t="s">
        <v>95</v>
      </c>
      <c r="H139" s="130" t="s">
        <v>96</v>
      </c>
      <c r="I139" s="105"/>
    </row>
    <row r="140" ht="22.5" hidden="1" customHeight="1">
      <c r="A140" s="90" t="s">
        <v>111</v>
      </c>
      <c r="B140" s="91" t="s">
        <v>112</v>
      </c>
      <c r="C140" s="92">
        <v>46082.0</v>
      </c>
      <c r="D140" s="93">
        <v>-379.5</v>
      </c>
      <c r="E140" s="94" t="s">
        <v>94</v>
      </c>
      <c r="F140" s="92"/>
      <c r="G140" s="111" t="s">
        <v>95</v>
      </c>
      <c r="H140" s="97" t="s">
        <v>96</v>
      </c>
      <c r="I140" s="107"/>
    </row>
    <row r="141" ht="22.5" hidden="1" customHeight="1">
      <c r="A141" s="90" t="s">
        <v>92</v>
      </c>
      <c r="B141" s="91" t="s">
        <v>140</v>
      </c>
      <c r="C141" s="115">
        <v>45971.0</v>
      </c>
      <c r="D141" s="101">
        <v>-91.86</v>
      </c>
      <c r="E141" s="96" t="s">
        <v>94</v>
      </c>
      <c r="F141" s="115">
        <v>45972.0</v>
      </c>
      <c r="G141" s="111" t="s">
        <v>95</v>
      </c>
      <c r="H141" s="97" t="s">
        <v>96</v>
      </c>
      <c r="I141" s="114"/>
    </row>
    <row r="142" ht="22.5" hidden="1" customHeight="1">
      <c r="A142" s="97" t="s">
        <v>109</v>
      </c>
      <c r="B142" s="99" t="s">
        <v>15</v>
      </c>
      <c r="C142" s="100">
        <v>46082.0</v>
      </c>
      <c r="D142" s="101">
        <v>-700.0</v>
      </c>
      <c r="E142" s="102" t="s">
        <v>94</v>
      </c>
      <c r="F142" s="106">
        <f t="shared" ref="F142:F143" si="17">C142</f>
        <v>46082</v>
      </c>
      <c r="G142" s="104" t="s">
        <v>95</v>
      </c>
      <c r="H142" s="97" t="s">
        <v>96</v>
      </c>
      <c r="I142" s="105"/>
    </row>
    <row r="143" ht="22.5" hidden="1" customHeight="1">
      <c r="A143" s="97" t="s">
        <v>109</v>
      </c>
      <c r="B143" s="99" t="s">
        <v>17</v>
      </c>
      <c r="C143" s="100">
        <v>46082.0</v>
      </c>
      <c r="D143" s="101">
        <v>-1924.0</v>
      </c>
      <c r="E143" s="102" t="s">
        <v>94</v>
      </c>
      <c r="F143" s="106">
        <f t="shared" si="17"/>
        <v>46082</v>
      </c>
      <c r="G143" s="104" t="s">
        <v>95</v>
      </c>
      <c r="H143" s="97" t="s">
        <v>96</v>
      </c>
      <c r="I143" s="105"/>
    </row>
    <row r="144" ht="22.5" hidden="1" customHeight="1">
      <c r="A144" s="90" t="s">
        <v>92</v>
      </c>
      <c r="B144" s="91" t="s">
        <v>70</v>
      </c>
      <c r="C144" s="92">
        <v>46086.0</v>
      </c>
      <c r="D144" s="93">
        <v>800.0</v>
      </c>
      <c r="E144" s="125" t="s">
        <v>102</v>
      </c>
      <c r="F144" s="92">
        <v>46147.0</v>
      </c>
      <c r="G144" s="111" t="s">
        <v>95</v>
      </c>
      <c r="H144" s="97" t="s">
        <v>106</v>
      </c>
      <c r="I144" s="107"/>
    </row>
    <row r="145" ht="22.5" hidden="1" customHeight="1">
      <c r="A145" s="110" t="s">
        <v>104</v>
      </c>
      <c r="B145" s="91" t="s">
        <v>105</v>
      </c>
      <c r="C145" s="92">
        <v>46086.0</v>
      </c>
      <c r="D145" s="93">
        <v>19000.0</v>
      </c>
      <c r="E145" s="94" t="s">
        <v>94</v>
      </c>
      <c r="F145" s="106">
        <f t="shared" ref="F145:F147" si="18">C145</f>
        <v>46086</v>
      </c>
      <c r="G145" s="111" t="s">
        <v>95</v>
      </c>
      <c r="H145" s="110" t="s">
        <v>106</v>
      </c>
      <c r="I145" s="107"/>
    </row>
    <row r="146" ht="22.5" hidden="1" customHeight="1">
      <c r="A146" s="90" t="s">
        <v>92</v>
      </c>
      <c r="B146" s="91" t="s">
        <v>72</v>
      </c>
      <c r="C146" s="92">
        <v>46091.0</v>
      </c>
      <c r="D146" s="93">
        <v>450.0</v>
      </c>
      <c r="E146" s="94" t="s">
        <v>94</v>
      </c>
      <c r="F146" s="106">
        <f t="shared" si="18"/>
        <v>46091</v>
      </c>
      <c r="G146" s="111" t="s">
        <v>95</v>
      </c>
      <c r="H146" s="97" t="s">
        <v>106</v>
      </c>
      <c r="I146" s="107"/>
    </row>
    <row r="147" ht="22.5" hidden="1" customHeight="1">
      <c r="A147" s="97" t="s">
        <v>92</v>
      </c>
      <c r="B147" s="99" t="s">
        <v>132</v>
      </c>
      <c r="C147" s="100">
        <v>46091.0</v>
      </c>
      <c r="D147" s="101">
        <v>-563.17</v>
      </c>
      <c r="E147" s="102" t="s">
        <v>94</v>
      </c>
      <c r="F147" s="106">
        <f t="shared" si="18"/>
        <v>46091</v>
      </c>
      <c r="G147" s="104" t="s">
        <v>95</v>
      </c>
      <c r="H147" s="97" t="s">
        <v>96</v>
      </c>
      <c r="I147" s="105"/>
    </row>
    <row r="148" ht="22.5" hidden="1" customHeight="1">
      <c r="A148" s="97" t="s">
        <v>92</v>
      </c>
      <c r="B148" s="99" t="s">
        <v>101</v>
      </c>
      <c r="C148" s="100">
        <v>46091.0</v>
      </c>
      <c r="D148" s="101">
        <v>429.11</v>
      </c>
      <c r="E148" s="102" t="s">
        <v>94</v>
      </c>
      <c r="F148" s="103">
        <v>46000.0</v>
      </c>
      <c r="G148" s="104" t="s">
        <v>95</v>
      </c>
      <c r="H148" s="97" t="s">
        <v>96</v>
      </c>
      <c r="I148" s="105"/>
    </row>
    <row r="149" ht="22.5" hidden="1" customHeight="1">
      <c r="A149" s="90" t="s">
        <v>135</v>
      </c>
      <c r="B149" s="99" t="s">
        <v>136</v>
      </c>
      <c r="C149" s="100">
        <v>46091.0</v>
      </c>
      <c r="D149" s="101">
        <v>-58.47</v>
      </c>
      <c r="E149" s="94" t="s">
        <v>94</v>
      </c>
      <c r="F149" s="106">
        <f t="shared" ref="F149:F158" si="19">C149</f>
        <v>46091</v>
      </c>
      <c r="G149" s="111" t="s">
        <v>95</v>
      </c>
      <c r="H149" s="97" t="s">
        <v>96</v>
      </c>
      <c r="I149" s="105"/>
    </row>
    <row r="150" ht="22.5" hidden="1" customHeight="1">
      <c r="A150" s="90" t="s">
        <v>135</v>
      </c>
      <c r="B150" s="91" t="s">
        <v>137</v>
      </c>
      <c r="C150" s="92">
        <v>46091.0</v>
      </c>
      <c r="D150" s="93">
        <v>-2500.0</v>
      </c>
      <c r="E150" s="102" t="s">
        <v>94</v>
      </c>
      <c r="F150" s="118">
        <f t="shared" si="19"/>
        <v>46091</v>
      </c>
      <c r="G150" s="104" t="s">
        <v>95</v>
      </c>
      <c r="H150" s="97" t="s">
        <v>96</v>
      </c>
      <c r="I150" s="98"/>
    </row>
    <row r="151" ht="22.5" hidden="1" customHeight="1">
      <c r="A151" s="90" t="s">
        <v>92</v>
      </c>
      <c r="B151" s="91" t="s">
        <v>140</v>
      </c>
      <c r="C151" s="115">
        <v>46091.0</v>
      </c>
      <c r="D151" s="101">
        <v>-89.9</v>
      </c>
      <c r="E151" s="94" t="s">
        <v>94</v>
      </c>
      <c r="F151" s="115">
        <f t="shared" si="19"/>
        <v>46091</v>
      </c>
      <c r="G151" s="111" t="s">
        <v>95</v>
      </c>
      <c r="H151" s="97" t="s">
        <v>96</v>
      </c>
      <c r="I151" s="114"/>
    </row>
    <row r="152" ht="22.5" hidden="1" customHeight="1">
      <c r="A152" s="97" t="s">
        <v>109</v>
      </c>
      <c r="B152" s="99" t="s">
        <v>15</v>
      </c>
      <c r="C152" s="100">
        <v>45931.0</v>
      </c>
      <c r="D152" s="101">
        <v>-700.0</v>
      </c>
      <c r="E152" s="102" t="s">
        <v>94</v>
      </c>
      <c r="F152" s="106">
        <f t="shared" si="19"/>
        <v>45931</v>
      </c>
      <c r="G152" s="104" t="s">
        <v>95</v>
      </c>
      <c r="H152" s="97" t="s">
        <v>96</v>
      </c>
      <c r="I152" s="105"/>
    </row>
    <row r="153" ht="22.5" hidden="1" customHeight="1">
      <c r="A153" s="90" t="s">
        <v>99</v>
      </c>
      <c r="B153" s="91" t="s">
        <v>115</v>
      </c>
      <c r="C153" s="92">
        <v>46094.0</v>
      </c>
      <c r="D153" s="93">
        <v>-3600.0</v>
      </c>
      <c r="E153" s="94" t="s">
        <v>94</v>
      </c>
      <c r="F153" s="92">
        <f t="shared" si="19"/>
        <v>46094</v>
      </c>
      <c r="G153" s="111" t="s">
        <v>95</v>
      </c>
      <c r="H153" s="97" t="s">
        <v>96</v>
      </c>
      <c r="I153" s="107"/>
    </row>
    <row r="154" ht="22.5" hidden="1" customHeight="1">
      <c r="A154" s="90" t="s">
        <v>92</v>
      </c>
      <c r="B154" s="99" t="s">
        <v>143</v>
      </c>
      <c r="C154" s="100">
        <v>46097.0</v>
      </c>
      <c r="D154" s="101">
        <v>-236.75</v>
      </c>
      <c r="E154" s="125" t="s">
        <v>102</v>
      </c>
      <c r="F154" s="106">
        <f t="shared" si="19"/>
        <v>46097</v>
      </c>
      <c r="G154" s="111" t="s">
        <v>95</v>
      </c>
      <c r="H154" s="97" t="s">
        <v>96</v>
      </c>
      <c r="I154" s="105"/>
    </row>
    <row r="155" ht="22.5" hidden="1" customHeight="1">
      <c r="A155" s="97" t="s">
        <v>92</v>
      </c>
      <c r="B155" s="99" t="s">
        <v>19</v>
      </c>
      <c r="C155" s="100">
        <v>46113.0</v>
      </c>
      <c r="D155" s="101">
        <v>-1000.0</v>
      </c>
      <c r="E155" s="102" t="s">
        <v>94</v>
      </c>
      <c r="F155" s="106">
        <f t="shared" si="19"/>
        <v>46113</v>
      </c>
      <c r="G155" s="104" t="s">
        <v>95</v>
      </c>
      <c r="H155" s="97" t="s">
        <v>96</v>
      </c>
      <c r="I155" s="105"/>
    </row>
    <row r="156" ht="22.5" hidden="1" customHeight="1">
      <c r="A156" s="110" t="s">
        <v>104</v>
      </c>
      <c r="B156" s="112" t="s">
        <v>45</v>
      </c>
      <c r="C156" s="92">
        <v>46113.0</v>
      </c>
      <c r="D156" s="93">
        <v>3000.0</v>
      </c>
      <c r="E156" s="125" t="s">
        <v>102</v>
      </c>
      <c r="F156" s="106">
        <f t="shared" si="19"/>
        <v>46113</v>
      </c>
      <c r="G156" s="111" t="s">
        <v>95</v>
      </c>
      <c r="H156" s="110" t="s">
        <v>106</v>
      </c>
      <c r="I156" s="107"/>
    </row>
    <row r="157" ht="22.5" hidden="1" customHeight="1">
      <c r="A157" s="97" t="s">
        <v>109</v>
      </c>
      <c r="B157" s="99" t="s">
        <v>22</v>
      </c>
      <c r="C157" s="100">
        <v>46113.0</v>
      </c>
      <c r="D157" s="101">
        <v>-1000.0</v>
      </c>
      <c r="E157" s="102" t="s">
        <v>94</v>
      </c>
      <c r="F157" s="106">
        <f t="shared" si="19"/>
        <v>46113</v>
      </c>
      <c r="G157" s="104" t="s">
        <v>95</v>
      </c>
      <c r="H157" s="97" t="s">
        <v>96</v>
      </c>
      <c r="I157" s="105"/>
    </row>
    <row r="158" ht="22.5" hidden="1" customHeight="1">
      <c r="A158" s="97" t="s">
        <v>109</v>
      </c>
      <c r="B158" s="99" t="s">
        <v>110</v>
      </c>
      <c r="C158" s="100">
        <v>46113.0</v>
      </c>
      <c r="D158" s="101">
        <v>-550.0</v>
      </c>
      <c r="E158" s="102" t="s">
        <v>94</v>
      </c>
      <c r="F158" s="106">
        <f t="shared" si="19"/>
        <v>46113</v>
      </c>
      <c r="G158" s="104" t="s">
        <v>95</v>
      </c>
      <c r="H158" s="97" t="s">
        <v>96</v>
      </c>
      <c r="I158" s="105"/>
    </row>
    <row r="159" ht="22.5" hidden="1" customHeight="1">
      <c r="A159" s="90" t="s">
        <v>111</v>
      </c>
      <c r="B159" s="91" t="s">
        <v>112</v>
      </c>
      <c r="C159" s="92">
        <v>46113.0</v>
      </c>
      <c r="D159" s="93">
        <v>-379.5</v>
      </c>
      <c r="E159" s="94" t="s">
        <v>94</v>
      </c>
      <c r="F159" s="92"/>
      <c r="G159" s="111" t="s">
        <v>95</v>
      </c>
      <c r="H159" s="97" t="s">
        <v>96</v>
      </c>
      <c r="I159" s="107"/>
    </row>
    <row r="160" ht="22.5" hidden="1" customHeight="1">
      <c r="A160" s="97" t="s">
        <v>109</v>
      </c>
      <c r="B160" s="99" t="s">
        <v>15</v>
      </c>
      <c r="C160" s="100">
        <v>46113.0</v>
      </c>
      <c r="D160" s="101">
        <v>-700.0</v>
      </c>
      <c r="E160" s="102" t="s">
        <v>94</v>
      </c>
      <c r="F160" s="106">
        <f t="shared" ref="F160:F170" si="20">C160</f>
        <v>46113</v>
      </c>
      <c r="G160" s="104" t="s">
        <v>95</v>
      </c>
      <c r="H160" s="97" t="s">
        <v>96</v>
      </c>
      <c r="I160" s="105"/>
    </row>
    <row r="161" ht="22.5" hidden="1" customHeight="1">
      <c r="A161" s="97" t="s">
        <v>109</v>
      </c>
      <c r="B161" s="99" t="s">
        <v>17</v>
      </c>
      <c r="C161" s="100">
        <v>46113.0</v>
      </c>
      <c r="D161" s="101">
        <v>-1924.0</v>
      </c>
      <c r="E161" s="102" t="s">
        <v>94</v>
      </c>
      <c r="F161" s="106">
        <f t="shared" si="20"/>
        <v>46113</v>
      </c>
      <c r="G161" s="104" t="s">
        <v>95</v>
      </c>
      <c r="H161" s="97" t="s">
        <v>96</v>
      </c>
      <c r="I161" s="105"/>
    </row>
    <row r="162" ht="22.5" hidden="1" customHeight="1">
      <c r="A162" s="90" t="s">
        <v>92</v>
      </c>
      <c r="B162" s="91" t="s">
        <v>140</v>
      </c>
      <c r="C162" s="115">
        <v>46397.0</v>
      </c>
      <c r="D162" s="101">
        <v>-89.9</v>
      </c>
      <c r="E162" s="94" t="s">
        <v>102</v>
      </c>
      <c r="F162" s="115">
        <f t="shared" si="20"/>
        <v>46397</v>
      </c>
      <c r="G162" s="111" t="s">
        <v>95</v>
      </c>
      <c r="H162" s="97" t="s">
        <v>96</v>
      </c>
      <c r="I162" s="114"/>
    </row>
    <row r="163" ht="22.5" hidden="1" customHeight="1">
      <c r="A163" s="90" t="s">
        <v>92</v>
      </c>
      <c r="B163" s="91" t="s">
        <v>140</v>
      </c>
      <c r="C163" s="115">
        <v>46428.0</v>
      </c>
      <c r="D163" s="101">
        <v>-89.9</v>
      </c>
      <c r="E163" s="94" t="s">
        <v>102</v>
      </c>
      <c r="F163" s="115">
        <f t="shared" si="20"/>
        <v>46428</v>
      </c>
      <c r="G163" s="111" t="s">
        <v>95</v>
      </c>
      <c r="H163" s="97" t="s">
        <v>96</v>
      </c>
      <c r="I163" s="114"/>
    </row>
    <row r="164" ht="22.5" hidden="1" customHeight="1">
      <c r="A164" s="110" t="s">
        <v>104</v>
      </c>
      <c r="B164" s="91" t="s">
        <v>105</v>
      </c>
      <c r="C164" s="92">
        <v>46117.0</v>
      </c>
      <c r="D164" s="93">
        <v>19000.0</v>
      </c>
      <c r="E164" s="94" t="s">
        <v>94</v>
      </c>
      <c r="F164" s="106">
        <f t="shared" si="20"/>
        <v>46117</v>
      </c>
      <c r="G164" s="111" t="s">
        <v>95</v>
      </c>
      <c r="H164" s="110" t="s">
        <v>106</v>
      </c>
      <c r="I164" s="107"/>
    </row>
    <row r="165" ht="22.5" hidden="1" customHeight="1">
      <c r="A165" s="97" t="s">
        <v>109</v>
      </c>
      <c r="B165" s="99" t="s">
        <v>15</v>
      </c>
      <c r="C165" s="100">
        <v>45962.0</v>
      </c>
      <c r="D165" s="101">
        <v>-700.0</v>
      </c>
      <c r="E165" s="102" t="s">
        <v>94</v>
      </c>
      <c r="F165" s="106">
        <f t="shared" si="20"/>
        <v>45962</v>
      </c>
      <c r="G165" s="104" t="s">
        <v>95</v>
      </c>
      <c r="H165" s="97" t="s">
        <v>96</v>
      </c>
      <c r="I165" s="105"/>
    </row>
    <row r="166" ht="22.5" hidden="1" customHeight="1">
      <c r="A166" s="97" t="s">
        <v>109</v>
      </c>
      <c r="B166" s="99" t="s">
        <v>15</v>
      </c>
      <c r="C166" s="100">
        <v>45992.0</v>
      </c>
      <c r="D166" s="101">
        <v>-700.0</v>
      </c>
      <c r="E166" s="102" t="s">
        <v>94</v>
      </c>
      <c r="F166" s="106">
        <f t="shared" si="20"/>
        <v>45992</v>
      </c>
      <c r="G166" s="104" t="s">
        <v>95</v>
      </c>
      <c r="H166" s="97" t="s">
        <v>96</v>
      </c>
      <c r="I166" s="105"/>
    </row>
    <row r="167" ht="22.5" hidden="1" customHeight="1">
      <c r="A167" s="97" t="s">
        <v>109</v>
      </c>
      <c r="B167" s="99" t="s">
        <v>15</v>
      </c>
      <c r="C167" s="100">
        <v>45992.0</v>
      </c>
      <c r="D167" s="101">
        <v>-700.0</v>
      </c>
      <c r="E167" s="102" t="s">
        <v>94</v>
      </c>
      <c r="F167" s="106">
        <f t="shared" si="20"/>
        <v>45992</v>
      </c>
      <c r="G167" s="104" t="s">
        <v>95</v>
      </c>
      <c r="H167" s="97" t="s">
        <v>96</v>
      </c>
      <c r="I167" s="105"/>
    </row>
    <row r="168" ht="22.5" hidden="1" customHeight="1">
      <c r="A168" s="97" t="s">
        <v>92</v>
      </c>
      <c r="B168" s="99" t="s">
        <v>19</v>
      </c>
      <c r="C168" s="100">
        <v>45992.0</v>
      </c>
      <c r="D168" s="101">
        <v>-1000.0</v>
      </c>
      <c r="E168" s="102" t="s">
        <v>94</v>
      </c>
      <c r="F168" s="106">
        <f t="shared" si="20"/>
        <v>45992</v>
      </c>
      <c r="G168" s="104" t="s">
        <v>95</v>
      </c>
      <c r="H168" s="97" t="s">
        <v>96</v>
      </c>
      <c r="I168" s="105"/>
    </row>
    <row r="169" ht="22.5" hidden="1" customHeight="1">
      <c r="A169" s="97" t="s">
        <v>111</v>
      </c>
      <c r="B169" s="99" t="s">
        <v>128</v>
      </c>
      <c r="C169" s="100">
        <v>45993.0</v>
      </c>
      <c r="D169" s="101">
        <v>-58.96</v>
      </c>
      <c r="E169" s="102" t="s">
        <v>94</v>
      </c>
      <c r="F169" s="106">
        <f t="shared" si="20"/>
        <v>45993</v>
      </c>
      <c r="G169" s="104" t="s">
        <v>95</v>
      </c>
      <c r="H169" s="97" t="s">
        <v>96</v>
      </c>
      <c r="I169" s="105"/>
    </row>
    <row r="170" ht="22.5" hidden="1" customHeight="1">
      <c r="A170" s="97" t="s">
        <v>92</v>
      </c>
      <c r="B170" s="99" t="s">
        <v>98</v>
      </c>
      <c r="C170" s="100">
        <v>45996.0</v>
      </c>
      <c r="D170" s="101">
        <v>-395.06</v>
      </c>
      <c r="E170" s="102" t="s">
        <v>94</v>
      </c>
      <c r="F170" s="103">
        <f t="shared" si="20"/>
        <v>45996</v>
      </c>
      <c r="G170" s="104" t="s">
        <v>95</v>
      </c>
      <c r="H170" s="97" t="s">
        <v>96</v>
      </c>
      <c r="I170" s="105"/>
    </row>
    <row r="171" ht="22.5" hidden="1" customHeight="1">
      <c r="A171" s="97" t="s">
        <v>92</v>
      </c>
      <c r="B171" s="99" t="s">
        <v>116</v>
      </c>
      <c r="C171" s="100">
        <v>45996.0</v>
      </c>
      <c r="D171" s="101">
        <v>-1024.21</v>
      </c>
      <c r="E171" s="102" t="s">
        <v>94</v>
      </c>
      <c r="F171" s="103">
        <v>46000.0</v>
      </c>
      <c r="G171" s="104" t="s">
        <v>95</v>
      </c>
      <c r="H171" s="97" t="s">
        <v>96</v>
      </c>
      <c r="I171" s="105"/>
    </row>
    <row r="172" ht="22.5" hidden="1" customHeight="1">
      <c r="A172" s="90" t="s">
        <v>92</v>
      </c>
      <c r="B172" s="91" t="s">
        <v>70</v>
      </c>
      <c r="C172" s="92">
        <v>45996.0</v>
      </c>
      <c r="D172" s="93">
        <v>800.0</v>
      </c>
      <c r="E172" s="102" t="s">
        <v>94</v>
      </c>
      <c r="F172" s="92">
        <f t="shared" ref="F172:F191" si="21">C172</f>
        <v>45996</v>
      </c>
      <c r="G172" s="111" t="s">
        <v>95</v>
      </c>
      <c r="H172" s="97" t="s">
        <v>106</v>
      </c>
      <c r="I172" s="107"/>
    </row>
    <row r="173" ht="22.5" hidden="1" customHeight="1">
      <c r="A173" s="90" t="s">
        <v>99</v>
      </c>
      <c r="B173" s="91" t="s">
        <v>115</v>
      </c>
      <c r="C173" s="92">
        <v>45996.0</v>
      </c>
      <c r="D173" s="93">
        <v>0.0</v>
      </c>
      <c r="E173" s="102" t="s">
        <v>94</v>
      </c>
      <c r="F173" s="92">
        <f t="shared" si="21"/>
        <v>45996</v>
      </c>
      <c r="G173" s="123"/>
      <c r="H173" s="124"/>
      <c r="I173" s="107"/>
    </row>
    <row r="174" ht="22.5" hidden="1" customHeight="1">
      <c r="A174" s="110" t="s">
        <v>104</v>
      </c>
      <c r="B174" s="91" t="s">
        <v>105</v>
      </c>
      <c r="C174" s="92">
        <v>45996.0</v>
      </c>
      <c r="D174" s="93">
        <v>19000.0</v>
      </c>
      <c r="E174" s="102" t="s">
        <v>94</v>
      </c>
      <c r="F174" s="106">
        <f t="shared" si="21"/>
        <v>45996</v>
      </c>
      <c r="G174" s="111" t="s">
        <v>95</v>
      </c>
      <c r="H174" s="110" t="s">
        <v>106</v>
      </c>
      <c r="I174" s="107"/>
    </row>
    <row r="175" ht="22.5" customHeight="1">
      <c r="A175" s="90" t="s">
        <v>92</v>
      </c>
      <c r="B175" s="91" t="s">
        <v>150</v>
      </c>
      <c r="C175" s="92">
        <v>45908.0</v>
      </c>
      <c r="D175" s="93">
        <v>-84.11</v>
      </c>
      <c r="E175" s="94" t="s">
        <v>94</v>
      </c>
      <c r="F175" s="115">
        <f t="shared" si="21"/>
        <v>45908</v>
      </c>
      <c r="G175" s="96" t="s">
        <v>95</v>
      </c>
      <c r="H175" s="97" t="s">
        <v>96</v>
      </c>
      <c r="I175" s="98" t="s">
        <v>151</v>
      </c>
    </row>
    <row r="176" ht="22.5" customHeight="1">
      <c r="A176" s="90" t="s">
        <v>92</v>
      </c>
      <c r="B176" s="91" t="s">
        <v>150</v>
      </c>
      <c r="C176" s="92">
        <v>46143.0</v>
      </c>
      <c r="D176" s="93">
        <v>-250.0</v>
      </c>
      <c r="E176" s="94" t="s">
        <v>102</v>
      </c>
      <c r="F176" s="115">
        <f t="shared" si="21"/>
        <v>46143</v>
      </c>
      <c r="G176" s="96" t="s">
        <v>95</v>
      </c>
      <c r="H176" s="97" t="s">
        <v>96</v>
      </c>
      <c r="I176" s="98" t="s">
        <v>66</v>
      </c>
    </row>
    <row r="177" ht="22.5" customHeight="1">
      <c r="A177" s="90" t="s">
        <v>92</v>
      </c>
      <c r="B177" s="91" t="s">
        <v>150</v>
      </c>
      <c r="C177" s="92">
        <v>46174.0</v>
      </c>
      <c r="D177" s="93">
        <v>-250.0</v>
      </c>
      <c r="E177" s="94" t="s">
        <v>102</v>
      </c>
      <c r="F177" s="115">
        <f t="shared" si="21"/>
        <v>46174</v>
      </c>
      <c r="G177" s="96" t="s">
        <v>95</v>
      </c>
      <c r="H177" s="97" t="s">
        <v>96</v>
      </c>
      <c r="I177" s="98" t="s">
        <v>66</v>
      </c>
    </row>
    <row r="178" ht="22.5" customHeight="1">
      <c r="A178" s="90" t="s">
        <v>92</v>
      </c>
      <c r="B178" s="91" t="s">
        <v>150</v>
      </c>
      <c r="C178" s="92">
        <v>46204.0</v>
      </c>
      <c r="D178" s="93">
        <v>-250.0</v>
      </c>
      <c r="E178" s="94" t="s">
        <v>102</v>
      </c>
      <c r="F178" s="115">
        <f t="shared" si="21"/>
        <v>46204</v>
      </c>
      <c r="G178" s="96" t="s">
        <v>95</v>
      </c>
      <c r="H178" s="97" t="s">
        <v>96</v>
      </c>
      <c r="I178" s="98" t="s">
        <v>66</v>
      </c>
    </row>
    <row r="179" ht="22.5" customHeight="1">
      <c r="A179" s="90" t="s">
        <v>92</v>
      </c>
      <c r="B179" s="91" t="s">
        <v>150</v>
      </c>
      <c r="C179" s="92">
        <v>46235.0</v>
      </c>
      <c r="D179" s="93">
        <v>-250.0</v>
      </c>
      <c r="E179" s="94" t="s">
        <v>102</v>
      </c>
      <c r="F179" s="115">
        <f t="shared" si="21"/>
        <v>46235</v>
      </c>
      <c r="G179" s="96" t="s">
        <v>95</v>
      </c>
      <c r="H179" s="97" t="s">
        <v>96</v>
      </c>
      <c r="I179" s="98" t="s">
        <v>66</v>
      </c>
    </row>
    <row r="180" ht="22.5" customHeight="1">
      <c r="A180" s="90" t="s">
        <v>92</v>
      </c>
      <c r="B180" s="91" t="s">
        <v>150</v>
      </c>
      <c r="C180" s="92">
        <v>46266.0</v>
      </c>
      <c r="D180" s="93">
        <v>-250.0</v>
      </c>
      <c r="E180" s="94" t="s">
        <v>102</v>
      </c>
      <c r="F180" s="115">
        <f t="shared" si="21"/>
        <v>46266</v>
      </c>
      <c r="G180" s="96" t="s">
        <v>95</v>
      </c>
      <c r="H180" s="97" t="s">
        <v>96</v>
      </c>
      <c r="I180" s="98" t="s">
        <v>66</v>
      </c>
    </row>
    <row r="181" ht="22.5" customHeight="1">
      <c r="A181" s="90" t="s">
        <v>92</v>
      </c>
      <c r="B181" s="91" t="s">
        <v>150</v>
      </c>
      <c r="C181" s="92">
        <v>46296.0</v>
      </c>
      <c r="D181" s="93">
        <v>-250.0</v>
      </c>
      <c r="E181" s="94" t="s">
        <v>102</v>
      </c>
      <c r="F181" s="115">
        <f t="shared" si="21"/>
        <v>46296</v>
      </c>
      <c r="G181" s="96" t="s">
        <v>95</v>
      </c>
      <c r="H181" s="97" t="s">
        <v>96</v>
      </c>
      <c r="I181" s="98" t="s">
        <v>66</v>
      </c>
    </row>
    <row r="182" ht="22.5" hidden="1" customHeight="1">
      <c r="A182" s="110" t="s">
        <v>104</v>
      </c>
      <c r="B182" s="112" t="s">
        <v>45</v>
      </c>
      <c r="C182" s="92">
        <v>45997.0</v>
      </c>
      <c r="D182" s="113">
        <v>750.0</v>
      </c>
      <c r="E182" s="102" t="s">
        <v>94</v>
      </c>
      <c r="F182" s="106">
        <f t="shared" si="21"/>
        <v>45997</v>
      </c>
      <c r="G182" s="111" t="s">
        <v>95</v>
      </c>
      <c r="H182" s="110" t="s">
        <v>106</v>
      </c>
      <c r="I182" s="107"/>
    </row>
    <row r="183" ht="22.5" customHeight="1">
      <c r="A183" s="90" t="s">
        <v>92</v>
      </c>
      <c r="B183" s="91" t="s">
        <v>150</v>
      </c>
      <c r="C183" s="92">
        <v>46327.0</v>
      </c>
      <c r="D183" s="93">
        <v>-250.0</v>
      </c>
      <c r="E183" s="94" t="s">
        <v>102</v>
      </c>
      <c r="F183" s="115">
        <f t="shared" si="21"/>
        <v>46327</v>
      </c>
      <c r="G183" s="96" t="s">
        <v>95</v>
      </c>
      <c r="H183" s="97" t="s">
        <v>96</v>
      </c>
      <c r="I183" s="98" t="s">
        <v>66</v>
      </c>
    </row>
    <row r="184" ht="22.5" hidden="1" customHeight="1">
      <c r="A184" s="90" t="s">
        <v>141</v>
      </c>
      <c r="B184" s="91" t="s">
        <v>142</v>
      </c>
      <c r="C184" s="92">
        <v>45945.0</v>
      </c>
      <c r="D184" s="93">
        <v>-254.81</v>
      </c>
      <c r="E184" s="94" t="s">
        <v>94</v>
      </c>
      <c r="F184" s="115">
        <f t="shared" si="21"/>
        <v>45945</v>
      </c>
      <c r="G184" s="111" t="s">
        <v>95</v>
      </c>
      <c r="H184" s="97" t="s">
        <v>96</v>
      </c>
      <c r="I184" s="107"/>
    </row>
    <row r="185" ht="22.5" hidden="1" customHeight="1">
      <c r="A185" s="97" t="s">
        <v>92</v>
      </c>
      <c r="B185" s="99" t="s">
        <v>132</v>
      </c>
      <c r="C185" s="100">
        <v>46001.0</v>
      </c>
      <c r="D185" s="101">
        <v>-563.17</v>
      </c>
      <c r="E185" s="102" t="s">
        <v>94</v>
      </c>
      <c r="F185" s="106">
        <f t="shared" si="21"/>
        <v>46001</v>
      </c>
      <c r="G185" s="104" t="s">
        <v>95</v>
      </c>
      <c r="H185" s="97" t="s">
        <v>96</v>
      </c>
      <c r="I185" s="105"/>
    </row>
    <row r="186" ht="22.5" hidden="1" customHeight="1">
      <c r="A186" s="90" t="s">
        <v>92</v>
      </c>
      <c r="B186" s="91" t="s">
        <v>72</v>
      </c>
      <c r="C186" s="92">
        <v>46001.0</v>
      </c>
      <c r="D186" s="93">
        <v>450.0</v>
      </c>
      <c r="E186" s="102" t="s">
        <v>94</v>
      </c>
      <c r="F186" s="106">
        <f t="shared" si="21"/>
        <v>46001</v>
      </c>
      <c r="G186" s="111" t="s">
        <v>95</v>
      </c>
      <c r="H186" s="97" t="s">
        <v>106</v>
      </c>
      <c r="I186" s="107"/>
    </row>
    <row r="187" ht="22.5" hidden="1" customHeight="1">
      <c r="A187" s="110" t="s">
        <v>104</v>
      </c>
      <c r="B187" s="112" t="s">
        <v>45</v>
      </c>
      <c r="C187" s="92">
        <v>46004.0</v>
      </c>
      <c r="D187" s="113">
        <v>750.0</v>
      </c>
      <c r="E187" s="102" t="s">
        <v>94</v>
      </c>
      <c r="F187" s="106">
        <f t="shared" si="21"/>
        <v>46004</v>
      </c>
      <c r="G187" s="111" t="s">
        <v>95</v>
      </c>
      <c r="H187" s="110" t="s">
        <v>106</v>
      </c>
      <c r="I187" s="107"/>
    </row>
    <row r="188" ht="22.5" hidden="1" customHeight="1">
      <c r="A188" s="120" t="s">
        <v>104</v>
      </c>
      <c r="B188" s="121" t="s">
        <v>118</v>
      </c>
      <c r="C188" s="100">
        <v>46006.0</v>
      </c>
      <c r="D188" s="101">
        <v>0.0</v>
      </c>
      <c r="E188" s="102" t="s">
        <v>94</v>
      </c>
      <c r="F188" s="106">
        <f t="shared" si="21"/>
        <v>46006</v>
      </c>
      <c r="G188" s="122" t="s">
        <v>95</v>
      </c>
      <c r="H188" s="120" t="s">
        <v>106</v>
      </c>
      <c r="I188" s="105"/>
    </row>
    <row r="189" ht="22.5" hidden="1" customHeight="1">
      <c r="A189" s="90" t="s">
        <v>141</v>
      </c>
      <c r="B189" s="91" t="s">
        <v>142</v>
      </c>
      <c r="C189" s="92">
        <v>45976.0</v>
      </c>
      <c r="D189" s="93">
        <v>-254.81</v>
      </c>
      <c r="E189" s="102" t="s">
        <v>94</v>
      </c>
      <c r="F189" s="115">
        <f t="shared" si="21"/>
        <v>45976</v>
      </c>
      <c r="G189" s="111" t="s">
        <v>95</v>
      </c>
      <c r="H189" s="97" t="s">
        <v>96</v>
      </c>
      <c r="I189" s="107"/>
    </row>
    <row r="190" ht="22.5" hidden="1" customHeight="1">
      <c r="A190" s="110" t="s">
        <v>104</v>
      </c>
      <c r="B190" s="112" t="s">
        <v>45</v>
      </c>
      <c r="C190" s="92">
        <v>46011.0</v>
      </c>
      <c r="D190" s="113">
        <v>750.0</v>
      </c>
      <c r="E190" s="102" t="s">
        <v>94</v>
      </c>
      <c r="F190" s="106">
        <f t="shared" si="21"/>
        <v>46011</v>
      </c>
      <c r="G190" s="111" t="s">
        <v>95</v>
      </c>
      <c r="H190" s="110" t="s">
        <v>106</v>
      </c>
      <c r="I190" s="107"/>
    </row>
    <row r="191" ht="22.5" hidden="1" customHeight="1">
      <c r="A191" s="110" t="s">
        <v>104</v>
      </c>
      <c r="B191" s="112" t="s">
        <v>45</v>
      </c>
      <c r="C191" s="92">
        <v>46018.0</v>
      </c>
      <c r="D191" s="113">
        <v>750.0</v>
      </c>
      <c r="E191" s="102" t="s">
        <v>94</v>
      </c>
      <c r="F191" s="106">
        <f t="shared" si="21"/>
        <v>46018</v>
      </c>
      <c r="G191" s="111" t="s">
        <v>95</v>
      </c>
      <c r="H191" s="110" t="s">
        <v>106</v>
      </c>
      <c r="I191" s="107"/>
    </row>
    <row r="192" ht="22.5" hidden="1" customHeight="1">
      <c r="A192" s="90" t="s">
        <v>92</v>
      </c>
      <c r="B192" s="91" t="s">
        <v>70</v>
      </c>
      <c r="C192" s="92">
        <v>46022.0</v>
      </c>
      <c r="D192" s="93">
        <v>400.0</v>
      </c>
      <c r="E192" s="102" t="s">
        <v>94</v>
      </c>
      <c r="F192" s="92"/>
      <c r="G192" s="111" t="s">
        <v>95</v>
      </c>
      <c r="H192" s="97" t="s">
        <v>106</v>
      </c>
      <c r="I192" s="107"/>
    </row>
    <row r="193" ht="22.5" hidden="1" customHeight="1">
      <c r="A193" s="90" t="s">
        <v>92</v>
      </c>
      <c r="B193" s="91" t="s">
        <v>70</v>
      </c>
      <c r="C193" s="92">
        <v>46122.0</v>
      </c>
      <c r="D193" s="93">
        <v>1100.0</v>
      </c>
      <c r="E193" s="125" t="s">
        <v>102</v>
      </c>
      <c r="F193" s="92">
        <v>46157.0</v>
      </c>
      <c r="G193" s="111" t="s">
        <v>95</v>
      </c>
      <c r="H193" s="97" t="s">
        <v>106</v>
      </c>
      <c r="I193" s="107"/>
    </row>
    <row r="194" ht="22.5" hidden="1" customHeight="1">
      <c r="A194" s="97" t="s">
        <v>109</v>
      </c>
      <c r="B194" s="99" t="s">
        <v>17</v>
      </c>
      <c r="C194" s="100">
        <v>45931.0</v>
      </c>
      <c r="D194" s="101">
        <v>-1500.0</v>
      </c>
      <c r="E194" s="102" t="s">
        <v>94</v>
      </c>
      <c r="F194" s="92">
        <v>45931.0</v>
      </c>
      <c r="G194" s="104" t="s">
        <v>95</v>
      </c>
      <c r="H194" s="97" t="s">
        <v>96</v>
      </c>
      <c r="I194" s="105"/>
    </row>
    <row r="195" ht="22.5" hidden="1" customHeight="1">
      <c r="A195" s="97" t="s">
        <v>109</v>
      </c>
      <c r="B195" s="99" t="s">
        <v>17</v>
      </c>
      <c r="C195" s="92">
        <v>45934.0</v>
      </c>
      <c r="D195" s="101">
        <v>-424.0</v>
      </c>
      <c r="E195" s="102" t="s">
        <v>94</v>
      </c>
      <c r="F195" s="92">
        <v>45931.0</v>
      </c>
      <c r="G195" s="104" t="s">
        <v>95</v>
      </c>
      <c r="H195" s="97" t="s">
        <v>96</v>
      </c>
      <c r="I195" s="131" t="s">
        <v>152</v>
      </c>
    </row>
    <row r="196" ht="22.5" hidden="1" customHeight="1">
      <c r="A196" s="90" t="s">
        <v>92</v>
      </c>
      <c r="B196" s="91" t="s">
        <v>72</v>
      </c>
      <c r="C196" s="92">
        <v>46122.0</v>
      </c>
      <c r="D196" s="93">
        <v>500.0</v>
      </c>
      <c r="E196" s="94" t="s">
        <v>94</v>
      </c>
      <c r="F196" s="106">
        <f t="shared" ref="F196:F198" si="22">C196</f>
        <v>46122</v>
      </c>
      <c r="G196" s="111" t="s">
        <v>95</v>
      </c>
      <c r="H196" s="97" t="s">
        <v>106</v>
      </c>
      <c r="I196" s="107"/>
    </row>
    <row r="197" ht="22.5" hidden="1" customHeight="1">
      <c r="A197" s="97" t="s">
        <v>109</v>
      </c>
      <c r="B197" s="99" t="s">
        <v>17</v>
      </c>
      <c r="C197" s="100">
        <v>45962.0</v>
      </c>
      <c r="D197" s="101">
        <v>-1924.0</v>
      </c>
      <c r="E197" s="102" t="s">
        <v>94</v>
      </c>
      <c r="F197" s="106">
        <f t="shared" si="22"/>
        <v>45962</v>
      </c>
      <c r="G197" s="104" t="s">
        <v>95</v>
      </c>
      <c r="H197" s="97" t="s">
        <v>96</v>
      </c>
      <c r="I197" s="105"/>
    </row>
    <row r="198" ht="22.5" hidden="1" customHeight="1">
      <c r="A198" s="97" t="s">
        <v>92</v>
      </c>
      <c r="B198" s="99" t="s">
        <v>132</v>
      </c>
      <c r="C198" s="100">
        <v>46122.0</v>
      </c>
      <c r="D198" s="101">
        <v>-563.17</v>
      </c>
      <c r="E198" s="102" t="s">
        <v>94</v>
      </c>
      <c r="F198" s="106">
        <f t="shared" si="22"/>
        <v>46122</v>
      </c>
      <c r="G198" s="104" t="s">
        <v>95</v>
      </c>
      <c r="H198" s="97" t="s">
        <v>96</v>
      </c>
      <c r="I198" s="105"/>
    </row>
    <row r="199" ht="22.5" hidden="1" customHeight="1">
      <c r="A199" s="90" t="s">
        <v>141</v>
      </c>
      <c r="B199" s="91" t="s">
        <v>153</v>
      </c>
      <c r="C199" s="92">
        <v>46122.0</v>
      </c>
      <c r="D199" s="93">
        <v>-145.48</v>
      </c>
      <c r="E199" s="94" t="s">
        <v>94</v>
      </c>
      <c r="F199" s="115">
        <v>46131.0</v>
      </c>
      <c r="G199" s="111" t="s">
        <v>95</v>
      </c>
      <c r="H199" s="97" t="s">
        <v>96</v>
      </c>
      <c r="I199" s="107"/>
    </row>
    <row r="200" ht="22.5" hidden="1" customHeight="1">
      <c r="A200" s="90" t="s">
        <v>141</v>
      </c>
      <c r="B200" s="91" t="s">
        <v>154</v>
      </c>
      <c r="C200" s="92">
        <v>46122.0</v>
      </c>
      <c r="D200" s="93">
        <v>-145.48</v>
      </c>
      <c r="E200" s="94" t="s">
        <v>94</v>
      </c>
      <c r="F200" s="115">
        <v>46131.0</v>
      </c>
      <c r="G200" s="111" t="s">
        <v>95</v>
      </c>
      <c r="H200" s="97" t="s">
        <v>96</v>
      </c>
      <c r="I200" s="107"/>
    </row>
    <row r="201" ht="22.5" hidden="1" customHeight="1">
      <c r="A201" s="97" t="s">
        <v>92</v>
      </c>
      <c r="B201" s="99" t="s">
        <v>101</v>
      </c>
      <c r="C201" s="100">
        <v>46122.0</v>
      </c>
      <c r="D201" s="101">
        <v>450.0</v>
      </c>
      <c r="E201" s="102" t="s">
        <v>94</v>
      </c>
      <c r="F201" s="103">
        <v>46000.0</v>
      </c>
      <c r="G201" s="104" t="s">
        <v>95</v>
      </c>
      <c r="H201" s="97" t="s">
        <v>96</v>
      </c>
      <c r="I201" s="105"/>
    </row>
    <row r="202" ht="22.5" hidden="1" customHeight="1">
      <c r="A202" s="90" t="s">
        <v>135</v>
      </c>
      <c r="B202" s="99" t="s">
        <v>136</v>
      </c>
      <c r="C202" s="100">
        <v>46122.0</v>
      </c>
      <c r="D202" s="101">
        <v>-58.47</v>
      </c>
      <c r="E202" s="94" t="s">
        <v>94</v>
      </c>
      <c r="F202" s="106">
        <f t="shared" ref="F202:F210" si="23">C202</f>
        <v>46122</v>
      </c>
      <c r="G202" s="111" t="s">
        <v>95</v>
      </c>
      <c r="H202" s="97" t="s">
        <v>96</v>
      </c>
      <c r="I202" s="105"/>
    </row>
    <row r="203" ht="22.5" hidden="1" customHeight="1">
      <c r="A203" s="90" t="s">
        <v>135</v>
      </c>
      <c r="B203" s="91" t="s">
        <v>137</v>
      </c>
      <c r="C203" s="92">
        <v>46122.0</v>
      </c>
      <c r="D203" s="93">
        <v>-3010.0</v>
      </c>
      <c r="E203" s="102" t="s">
        <v>94</v>
      </c>
      <c r="F203" s="118">
        <f t="shared" si="23"/>
        <v>46122</v>
      </c>
      <c r="G203" s="104" t="s">
        <v>95</v>
      </c>
      <c r="H203" s="97" t="s">
        <v>96</v>
      </c>
      <c r="I203" s="98"/>
    </row>
    <row r="204" ht="22.5" hidden="1" customHeight="1">
      <c r="A204" s="90" t="s">
        <v>92</v>
      </c>
      <c r="B204" s="91" t="s">
        <v>140</v>
      </c>
      <c r="C204" s="115">
        <v>46122.0</v>
      </c>
      <c r="D204" s="101">
        <v>-89.9</v>
      </c>
      <c r="E204" s="102" t="s">
        <v>94</v>
      </c>
      <c r="F204" s="115">
        <f t="shared" si="23"/>
        <v>46122</v>
      </c>
      <c r="G204" s="111" t="s">
        <v>95</v>
      </c>
      <c r="H204" s="97" t="s">
        <v>96</v>
      </c>
      <c r="I204" s="114"/>
    </row>
    <row r="205" ht="22.5" hidden="1" customHeight="1">
      <c r="A205" s="97" t="s">
        <v>92</v>
      </c>
      <c r="B205" s="99" t="s">
        <v>155</v>
      </c>
      <c r="C205" s="100">
        <v>46132.0</v>
      </c>
      <c r="D205" s="101">
        <v>-1244.49</v>
      </c>
      <c r="E205" s="102" t="s">
        <v>102</v>
      </c>
      <c r="F205" s="106">
        <f t="shared" si="23"/>
        <v>46132</v>
      </c>
      <c r="G205" s="104" t="s">
        <v>95</v>
      </c>
      <c r="H205" s="97" t="s">
        <v>96</v>
      </c>
      <c r="I205" s="105"/>
    </row>
    <row r="206" ht="22.5" hidden="1" customHeight="1">
      <c r="A206" s="97" t="s">
        <v>92</v>
      </c>
      <c r="B206" s="99" t="s">
        <v>155</v>
      </c>
      <c r="C206" s="100">
        <v>46132.0</v>
      </c>
      <c r="D206" s="101">
        <v>1244.49</v>
      </c>
      <c r="E206" s="102" t="s">
        <v>94</v>
      </c>
      <c r="F206" s="106">
        <f t="shared" si="23"/>
        <v>46132</v>
      </c>
      <c r="G206" s="104" t="s">
        <v>95</v>
      </c>
      <c r="H206" s="97" t="s">
        <v>96</v>
      </c>
      <c r="I206" s="105"/>
    </row>
    <row r="207" ht="22.5" hidden="1" customHeight="1">
      <c r="A207" s="97" t="s">
        <v>92</v>
      </c>
      <c r="B207" s="99" t="s">
        <v>19</v>
      </c>
      <c r="C207" s="100">
        <v>46143.0</v>
      </c>
      <c r="D207" s="101">
        <v>-1000.0</v>
      </c>
      <c r="E207" s="102" t="s">
        <v>102</v>
      </c>
      <c r="F207" s="106">
        <f t="shared" si="23"/>
        <v>46143</v>
      </c>
      <c r="G207" s="104" t="s">
        <v>95</v>
      </c>
      <c r="H207" s="97" t="s">
        <v>96</v>
      </c>
      <c r="I207" s="105"/>
    </row>
    <row r="208" ht="22.5" hidden="1" customHeight="1">
      <c r="A208" s="110" t="s">
        <v>104</v>
      </c>
      <c r="B208" s="112" t="s">
        <v>45</v>
      </c>
      <c r="C208" s="92">
        <v>46143.0</v>
      </c>
      <c r="D208" s="93">
        <v>3000.0</v>
      </c>
      <c r="E208" s="125" t="s">
        <v>102</v>
      </c>
      <c r="F208" s="106">
        <f t="shared" si="23"/>
        <v>46143</v>
      </c>
      <c r="G208" s="111" t="s">
        <v>95</v>
      </c>
      <c r="H208" s="110" t="s">
        <v>106</v>
      </c>
      <c r="I208" s="107"/>
    </row>
    <row r="209" ht="22.5" hidden="1" customHeight="1">
      <c r="A209" s="97" t="s">
        <v>109</v>
      </c>
      <c r="B209" s="99" t="s">
        <v>22</v>
      </c>
      <c r="C209" s="100">
        <v>46143.0</v>
      </c>
      <c r="D209" s="101">
        <v>-1000.0</v>
      </c>
      <c r="E209" s="102" t="s">
        <v>102</v>
      </c>
      <c r="F209" s="106">
        <f t="shared" si="23"/>
        <v>46143</v>
      </c>
      <c r="G209" s="104" t="s">
        <v>95</v>
      </c>
      <c r="H209" s="97" t="s">
        <v>96</v>
      </c>
      <c r="I209" s="105"/>
    </row>
    <row r="210" ht="22.5" hidden="1" customHeight="1">
      <c r="A210" s="97" t="s">
        <v>109</v>
      </c>
      <c r="B210" s="99" t="s">
        <v>110</v>
      </c>
      <c r="C210" s="100">
        <v>46143.0</v>
      </c>
      <c r="D210" s="101">
        <v>-550.0</v>
      </c>
      <c r="E210" s="102" t="s">
        <v>102</v>
      </c>
      <c r="F210" s="106">
        <f t="shared" si="23"/>
        <v>46143</v>
      </c>
      <c r="G210" s="104" t="s">
        <v>95</v>
      </c>
      <c r="H210" s="97" t="s">
        <v>96</v>
      </c>
      <c r="I210" s="105"/>
    </row>
    <row r="211" ht="22.5" hidden="1" customHeight="1">
      <c r="A211" s="90" t="s">
        <v>111</v>
      </c>
      <c r="B211" s="91" t="s">
        <v>112</v>
      </c>
      <c r="C211" s="92">
        <v>46143.0</v>
      </c>
      <c r="D211" s="93">
        <v>-379.5</v>
      </c>
      <c r="E211" s="94" t="s">
        <v>102</v>
      </c>
      <c r="F211" s="92"/>
      <c r="G211" s="111" t="s">
        <v>95</v>
      </c>
      <c r="H211" s="97" t="s">
        <v>96</v>
      </c>
      <c r="I211" s="107"/>
    </row>
    <row r="212" ht="22.5" hidden="1" customHeight="1">
      <c r="A212" s="97" t="s">
        <v>109</v>
      </c>
      <c r="B212" s="99" t="s">
        <v>15</v>
      </c>
      <c r="C212" s="100">
        <v>46143.0</v>
      </c>
      <c r="D212" s="101">
        <v>-700.0</v>
      </c>
      <c r="E212" s="102" t="s">
        <v>102</v>
      </c>
      <c r="F212" s="106">
        <f t="shared" ref="F212:F216" si="24">C212</f>
        <v>46143</v>
      </c>
      <c r="G212" s="104" t="s">
        <v>95</v>
      </c>
      <c r="H212" s="97" t="s">
        <v>96</v>
      </c>
      <c r="I212" s="105"/>
    </row>
    <row r="213" ht="22.5" hidden="1" customHeight="1">
      <c r="A213" s="97" t="s">
        <v>109</v>
      </c>
      <c r="B213" s="99" t="s">
        <v>17</v>
      </c>
      <c r="C213" s="100">
        <v>46143.0</v>
      </c>
      <c r="D213" s="101">
        <v>-1924.0</v>
      </c>
      <c r="E213" s="102" t="s">
        <v>102</v>
      </c>
      <c r="F213" s="106">
        <f t="shared" si="24"/>
        <v>46143</v>
      </c>
      <c r="G213" s="104" t="s">
        <v>95</v>
      </c>
      <c r="H213" s="97" t="s">
        <v>96</v>
      </c>
      <c r="I213" s="105"/>
    </row>
    <row r="214" ht="22.5" hidden="1" customHeight="1">
      <c r="A214" s="110" t="s">
        <v>104</v>
      </c>
      <c r="B214" s="91" t="s">
        <v>105</v>
      </c>
      <c r="C214" s="92">
        <v>46147.0</v>
      </c>
      <c r="D214" s="93">
        <v>19000.0</v>
      </c>
      <c r="E214" s="125" t="s">
        <v>102</v>
      </c>
      <c r="F214" s="106">
        <f t="shared" si="24"/>
        <v>46147</v>
      </c>
      <c r="G214" s="111" t="s">
        <v>95</v>
      </c>
      <c r="H214" s="110" t="s">
        <v>106</v>
      </c>
      <c r="I214" s="107"/>
    </row>
    <row r="215" ht="22.5" hidden="1" customHeight="1">
      <c r="A215" s="97" t="s">
        <v>92</v>
      </c>
      <c r="B215" s="99" t="s">
        <v>132</v>
      </c>
      <c r="C215" s="100">
        <v>46152.0</v>
      </c>
      <c r="D215" s="101">
        <v>-563.17</v>
      </c>
      <c r="E215" s="102" t="s">
        <v>102</v>
      </c>
      <c r="F215" s="106">
        <f t="shared" si="24"/>
        <v>46152</v>
      </c>
      <c r="G215" s="104" t="s">
        <v>95</v>
      </c>
      <c r="H215" s="97" t="s">
        <v>96</v>
      </c>
      <c r="I215" s="105"/>
    </row>
    <row r="216" ht="22.5" hidden="1" customHeight="1">
      <c r="A216" s="97" t="s">
        <v>92</v>
      </c>
      <c r="B216" s="99" t="s">
        <v>155</v>
      </c>
      <c r="C216" s="100">
        <v>46152.0</v>
      </c>
      <c r="D216" s="101">
        <v>-600.0</v>
      </c>
      <c r="E216" s="102" t="s">
        <v>102</v>
      </c>
      <c r="F216" s="106">
        <f t="shared" si="24"/>
        <v>46152</v>
      </c>
      <c r="G216" s="104" t="s">
        <v>95</v>
      </c>
      <c r="H216" s="97" t="s">
        <v>96</v>
      </c>
      <c r="I216" s="105"/>
    </row>
    <row r="217" ht="22.5" hidden="1" customHeight="1">
      <c r="A217" s="90" t="s">
        <v>141</v>
      </c>
      <c r="B217" s="91" t="s">
        <v>153</v>
      </c>
      <c r="C217" s="92">
        <v>46152.0</v>
      </c>
      <c r="D217" s="93">
        <v>-145.48</v>
      </c>
      <c r="E217" s="94" t="s">
        <v>102</v>
      </c>
      <c r="F217" s="115">
        <v>46131.0</v>
      </c>
      <c r="G217" s="111" t="s">
        <v>95</v>
      </c>
      <c r="H217" s="97" t="s">
        <v>96</v>
      </c>
      <c r="I217" s="107"/>
    </row>
    <row r="218" ht="22.5" hidden="1" customHeight="1">
      <c r="A218" s="90" t="s">
        <v>141</v>
      </c>
      <c r="B218" s="91" t="s">
        <v>154</v>
      </c>
      <c r="C218" s="92">
        <v>46152.0</v>
      </c>
      <c r="D218" s="93">
        <v>-145.48</v>
      </c>
      <c r="E218" s="94" t="s">
        <v>102</v>
      </c>
      <c r="F218" s="115">
        <v>46131.0</v>
      </c>
      <c r="G218" s="111" t="s">
        <v>95</v>
      </c>
      <c r="H218" s="97" t="s">
        <v>96</v>
      </c>
      <c r="I218" s="107"/>
    </row>
    <row r="219" ht="22.5" hidden="1" customHeight="1">
      <c r="A219" s="97" t="s">
        <v>92</v>
      </c>
      <c r="B219" s="99" t="s">
        <v>101</v>
      </c>
      <c r="C219" s="100">
        <v>46152.0</v>
      </c>
      <c r="D219" s="101">
        <v>-450.0</v>
      </c>
      <c r="E219" s="94" t="s">
        <v>102</v>
      </c>
      <c r="F219" s="103">
        <v>46000.0</v>
      </c>
      <c r="G219" s="104" t="s">
        <v>95</v>
      </c>
      <c r="H219" s="97" t="s">
        <v>96</v>
      </c>
      <c r="I219" s="105"/>
    </row>
    <row r="220" ht="22.5" hidden="1" customHeight="1">
      <c r="A220" s="90" t="s">
        <v>135</v>
      </c>
      <c r="B220" s="99" t="s">
        <v>136</v>
      </c>
      <c r="C220" s="100">
        <v>46152.0</v>
      </c>
      <c r="D220" s="101">
        <v>-58.47</v>
      </c>
      <c r="E220" s="94" t="s">
        <v>102</v>
      </c>
      <c r="F220" s="106">
        <f t="shared" ref="F220:F234" si="25">C220</f>
        <v>46152</v>
      </c>
      <c r="G220" s="111" t="s">
        <v>95</v>
      </c>
      <c r="H220" s="97" t="s">
        <v>96</v>
      </c>
      <c r="I220" s="105"/>
    </row>
    <row r="221" ht="22.5" hidden="1" customHeight="1">
      <c r="A221" s="90" t="s">
        <v>135</v>
      </c>
      <c r="B221" s="91" t="s">
        <v>137</v>
      </c>
      <c r="C221" s="92">
        <v>46152.0</v>
      </c>
      <c r="D221" s="93">
        <v>-3000.0</v>
      </c>
      <c r="E221" s="94" t="s">
        <v>102</v>
      </c>
      <c r="F221" s="118">
        <f t="shared" si="25"/>
        <v>46152</v>
      </c>
      <c r="G221" s="104" t="s">
        <v>95</v>
      </c>
      <c r="H221" s="97" t="s">
        <v>96</v>
      </c>
      <c r="I221" s="98" t="s">
        <v>66</v>
      </c>
    </row>
    <row r="222" ht="22.5" hidden="1" customHeight="1">
      <c r="A222" s="90" t="s">
        <v>92</v>
      </c>
      <c r="B222" s="91" t="s">
        <v>140</v>
      </c>
      <c r="C222" s="115">
        <v>46152.0</v>
      </c>
      <c r="D222" s="101">
        <v>-89.9</v>
      </c>
      <c r="E222" s="94" t="s">
        <v>102</v>
      </c>
      <c r="F222" s="115">
        <f t="shared" si="25"/>
        <v>46152</v>
      </c>
      <c r="G222" s="111" t="s">
        <v>95</v>
      </c>
      <c r="H222" s="97" t="s">
        <v>96</v>
      </c>
      <c r="I222" s="114"/>
    </row>
    <row r="223" ht="22.5" hidden="1" customHeight="1">
      <c r="A223" s="90" t="s">
        <v>92</v>
      </c>
      <c r="B223" s="91" t="s">
        <v>156</v>
      </c>
      <c r="C223" s="92">
        <v>46152.0</v>
      </c>
      <c r="D223" s="93">
        <v>1000.0</v>
      </c>
      <c r="E223" s="125" t="s">
        <v>102</v>
      </c>
      <c r="F223" s="106">
        <f t="shared" si="25"/>
        <v>46152</v>
      </c>
      <c r="G223" s="111" t="s">
        <v>95</v>
      </c>
      <c r="H223" s="97" t="s">
        <v>106</v>
      </c>
      <c r="I223" s="107"/>
    </row>
    <row r="224" ht="22.5" hidden="1" customHeight="1">
      <c r="A224" s="90" t="s">
        <v>92</v>
      </c>
      <c r="B224" s="91" t="s">
        <v>157</v>
      </c>
      <c r="C224" s="92">
        <v>46155.0</v>
      </c>
      <c r="D224" s="93">
        <v>-718.07</v>
      </c>
      <c r="E224" s="102" t="s">
        <v>102</v>
      </c>
      <c r="F224" s="106">
        <f t="shared" si="25"/>
        <v>46155</v>
      </c>
      <c r="G224" s="104" t="s">
        <v>95</v>
      </c>
      <c r="H224" s="97" t="s">
        <v>96</v>
      </c>
      <c r="I224" s="107"/>
    </row>
    <row r="225" ht="22.5" hidden="1" customHeight="1">
      <c r="A225" s="97" t="s">
        <v>92</v>
      </c>
      <c r="B225" s="99" t="s">
        <v>19</v>
      </c>
      <c r="C225" s="100">
        <v>46174.0</v>
      </c>
      <c r="D225" s="101">
        <v>-1000.0</v>
      </c>
      <c r="E225" s="102" t="s">
        <v>102</v>
      </c>
      <c r="F225" s="106">
        <f t="shared" si="25"/>
        <v>46174</v>
      </c>
      <c r="G225" s="104" t="s">
        <v>95</v>
      </c>
      <c r="H225" s="97" t="s">
        <v>96</v>
      </c>
      <c r="I225" s="105"/>
    </row>
    <row r="226" ht="22.5" hidden="1" customHeight="1">
      <c r="A226" s="110" t="s">
        <v>104</v>
      </c>
      <c r="B226" s="112" t="s">
        <v>45</v>
      </c>
      <c r="C226" s="92">
        <v>46174.0</v>
      </c>
      <c r="D226" s="93">
        <v>3000.0</v>
      </c>
      <c r="E226" s="125" t="s">
        <v>102</v>
      </c>
      <c r="F226" s="106">
        <f t="shared" si="25"/>
        <v>46174</v>
      </c>
      <c r="G226" s="111" t="s">
        <v>95</v>
      </c>
      <c r="H226" s="110" t="s">
        <v>106</v>
      </c>
      <c r="I226" s="107"/>
    </row>
    <row r="227" ht="22.5" hidden="1" customHeight="1">
      <c r="A227" s="97" t="s">
        <v>109</v>
      </c>
      <c r="B227" s="99" t="s">
        <v>22</v>
      </c>
      <c r="C227" s="100">
        <v>46174.0</v>
      </c>
      <c r="D227" s="101">
        <v>-1000.0</v>
      </c>
      <c r="E227" s="102" t="s">
        <v>102</v>
      </c>
      <c r="F227" s="106">
        <f t="shared" si="25"/>
        <v>46174</v>
      </c>
      <c r="G227" s="104" t="s">
        <v>95</v>
      </c>
      <c r="H227" s="97" t="s">
        <v>96</v>
      </c>
      <c r="I227" s="105"/>
    </row>
    <row r="228" ht="22.5" hidden="1" customHeight="1">
      <c r="A228" s="97" t="s">
        <v>109</v>
      </c>
      <c r="B228" s="99" t="s">
        <v>110</v>
      </c>
      <c r="C228" s="100">
        <v>46174.0</v>
      </c>
      <c r="D228" s="101">
        <v>-550.0</v>
      </c>
      <c r="E228" s="102" t="s">
        <v>102</v>
      </c>
      <c r="F228" s="106">
        <f t="shared" si="25"/>
        <v>46174</v>
      </c>
      <c r="G228" s="104" t="s">
        <v>95</v>
      </c>
      <c r="H228" s="97" t="s">
        <v>96</v>
      </c>
      <c r="I228" s="105"/>
    </row>
    <row r="229" ht="22.5" hidden="1" customHeight="1">
      <c r="A229" s="90" t="s">
        <v>111</v>
      </c>
      <c r="B229" s="91" t="s">
        <v>112</v>
      </c>
      <c r="C229" s="92">
        <v>46174.0</v>
      </c>
      <c r="D229" s="93">
        <v>-379.5</v>
      </c>
      <c r="E229" s="94" t="s">
        <v>102</v>
      </c>
      <c r="F229" s="106">
        <f t="shared" si="25"/>
        <v>46174</v>
      </c>
      <c r="G229" s="111" t="s">
        <v>95</v>
      </c>
      <c r="H229" s="97" t="s">
        <v>96</v>
      </c>
      <c r="I229" s="107"/>
    </row>
    <row r="230" ht="22.5" hidden="1" customHeight="1">
      <c r="A230" s="97" t="s">
        <v>109</v>
      </c>
      <c r="B230" s="99" t="s">
        <v>15</v>
      </c>
      <c r="C230" s="100">
        <v>46174.0</v>
      </c>
      <c r="D230" s="101">
        <v>-700.0</v>
      </c>
      <c r="E230" s="102" t="s">
        <v>102</v>
      </c>
      <c r="F230" s="106">
        <f t="shared" si="25"/>
        <v>46174</v>
      </c>
      <c r="G230" s="104" t="s">
        <v>95</v>
      </c>
      <c r="H230" s="97" t="s">
        <v>96</v>
      </c>
      <c r="I230" s="105"/>
    </row>
    <row r="231" ht="22.5" hidden="1" customHeight="1">
      <c r="A231" s="97" t="s">
        <v>109</v>
      </c>
      <c r="B231" s="99" t="s">
        <v>17</v>
      </c>
      <c r="C231" s="100">
        <v>46174.0</v>
      </c>
      <c r="D231" s="101">
        <v>-1924.0</v>
      </c>
      <c r="E231" s="102" t="s">
        <v>102</v>
      </c>
      <c r="F231" s="106">
        <f t="shared" si="25"/>
        <v>46174</v>
      </c>
      <c r="G231" s="104" t="s">
        <v>95</v>
      </c>
      <c r="H231" s="97" t="s">
        <v>96</v>
      </c>
      <c r="I231" s="105"/>
    </row>
    <row r="232" ht="22.5" hidden="1" customHeight="1">
      <c r="A232" s="110" t="s">
        <v>104</v>
      </c>
      <c r="B232" s="91" t="s">
        <v>105</v>
      </c>
      <c r="C232" s="92">
        <v>46178.0</v>
      </c>
      <c r="D232" s="93">
        <v>19000.0</v>
      </c>
      <c r="E232" s="125" t="s">
        <v>102</v>
      </c>
      <c r="F232" s="106">
        <f t="shared" si="25"/>
        <v>46178</v>
      </c>
      <c r="G232" s="111" t="s">
        <v>95</v>
      </c>
      <c r="H232" s="110" t="s">
        <v>106</v>
      </c>
      <c r="I232" s="107"/>
    </row>
    <row r="233" ht="22.5" hidden="1" customHeight="1">
      <c r="A233" s="97" t="s">
        <v>92</v>
      </c>
      <c r="B233" s="99" t="s">
        <v>132</v>
      </c>
      <c r="C233" s="100">
        <v>46183.0</v>
      </c>
      <c r="D233" s="101">
        <v>-563.17</v>
      </c>
      <c r="E233" s="102" t="s">
        <v>102</v>
      </c>
      <c r="F233" s="106">
        <f t="shared" si="25"/>
        <v>46183</v>
      </c>
      <c r="G233" s="104" t="s">
        <v>95</v>
      </c>
      <c r="H233" s="97" t="s">
        <v>96</v>
      </c>
      <c r="I233" s="105"/>
    </row>
    <row r="234" ht="22.5" hidden="1" customHeight="1">
      <c r="A234" s="97" t="s">
        <v>92</v>
      </c>
      <c r="B234" s="99" t="s">
        <v>155</v>
      </c>
      <c r="C234" s="100">
        <v>46183.0</v>
      </c>
      <c r="D234" s="101">
        <v>-600.0</v>
      </c>
      <c r="E234" s="102" t="s">
        <v>102</v>
      </c>
      <c r="F234" s="106">
        <f t="shared" si="25"/>
        <v>46183</v>
      </c>
      <c r="G234" s="104" t="s">
        <v>95</v>
      </c>
      <c r="H234" s="97" t="s">
        <v>96</v>
      </c>
      <c r="I234" s="105"/>
    </row>
    <row r="235" ht="22.5" hidden="1" customHeight="1">
      <c r="A235" s="90" t="s">
        <v>141</v>
      </c>
      <c r="B235" s="91" t="s">
        <v>153</v>
      </c>
      <c r="C235" s="92">
        <v>46183.0</v>
      </c>
      <c r="D235" s="93">
        <v>-145.48</v>
      </c>
      <c r="E235" s="94" t="s">
        <v>102</v>
      </c>
      <c r="F235" s="115">
        <v>46131.0</v>
      </c>
      <c r="G235" s="111" t="s">
        <v>95</v>
      </c>
      <c r="H235" s="97" t="s">
        <v>96</v>
      </c>
      <c r="I235" s="107"/>
    </row>
    <row r="236" ht="22.5" hidden="1" customHeight="1">
      <c r="A236" s="90" t="s">
        <v>141</v>
      </c>
      <c r="B236" s="91" t="s">
        <v>154</v>
      </c>
      <c r="C236" s="92">
        <v>46183.0</v>
      </c>
      <c r="D236" s="93">
        <v>-145.48</v>
      </c>
      <c r="E236" s="94" t="s">
        <v>102</v>
      </c>
      <c r="F236" s="115">
        <v>46131.0</v>
      </c>
      <c r="G236" s="111" t="s">
        <v>95</v>
      </c>
      <c r="H236" s="97" t="s">
        <v>96</v>
      </c>
      <c r="I236" s="107"/>
    </row>
    <row r="237" ht="22.5" hidden="1" customHeight="1">
      <c r="A237" s="97" t="s">
        <v>92</v>
      </c>
      <c r="B237" s="99" t="s">
        <v>101</v>
      </c>
      <c r="C237" s="100">
        <v>46183.0</v>
      </c>
      <c r="D237" s="101">
        <v>-450.0</v>
      </c>
      <c r="E237" s="94" t="s">
        <v>102</v>
      </c>
      <c r="F237" s="103">
        <v>46000.0</v>
      </c>
      <c r="G237" s="104" t="s">
        <v>95</v>
      </c>
      <c r="H237" s="97" t="s">
        <v>96</v>
      </c>
      <c r="I237" s="105"/>
    </row>
    <row r="238" ht="22.5" hidden="1" customHeight="1">
      <c r="A238" s="90" t="s">
        <v>135</v>
      </c>
      <c r="B238" s="99" t="s">
        <v>136</v>
      </c>
      <c r="C238" s="100">
        <v>46183.0</v>
      </c>
      <c r="D238" s="101">
        <v>-58.47</v>
      </c>
      <c r="E238" s="94" t="s">
        <v>102</v>
      </c>
      <c r="F238" s="106">
        <f t="shared" ref="F238:F246" si="26">C238</f>
        <v>46183</v>
      </c>
      <c r="G238" s="111" t="s">
        <v>95</v>
      </c>
      <c r="H238" s="97" t="s">
        <v>96</v>
      </c>
      <c r="I238" s="105"/>
    </row>
    <row r="239" ht="22.5" hidden="1" customHeight="1">
      <c r="A239" s="90" t="s">
        <v>135</v>
      </c>
      <c r="B239" s="91" t="s">
        <v>137</v>
      </c>
      <c r="C239" s="92">
        <v>46183.0</v>
      </c>
      <c r="D239" s="93">
        <v>-3000.0</v>
      </c>
      <c r="E239" s="94" t="s">
        <v>102</v>
      </c>
      <c r="F239" s="118">
        <f t="shared" si="26"/>
        <v>46183</v>
      </c>
      <c r="G239" s="104" t="s">
        <v>95</v>
      </c>
      <c r="H239" s="97" t="s">
        <v>96</v>
      </c>
      <c r="I239" s="98" t="s">
        <v>66</v>
      </c>
    </row>
    <row r="240" ht="22.5" hidden="1" customHeight="1">
      <c r="A240" s="90" t="s">
        <v>92</v>
      </c>
      <c r="B240" s="91" t="s">
        <v>140</v>
      </c>
      <c r="C240" s="115">
        <v>46183.0</v>
      </c>
      <c r="D240" s="101">
        <v>-89.9</v>
      </c>
      <c r="E240" s="94" t="s">
        <v>102</v>
      </c>
      <c r="F240" s="115">
        <f t="shared" si="26"/>
        <v>46183</v>
      </c>
      <c r="G240" s="111" t="s">
        <v>95</v>
      </c>
      <c r="H240" s="97" t="s">
        <v>96</v>
      </c>
      <c r="I240" s="114"/>
    </row>
    <row r="241" ht="22.5" hidden="1" customHeight="1">
      <c r="A241" s="90" t="s">
        <v>92</v>
      </c>
      <c r="B241" s="91" t="s">
        <v>156</v>
      </c>
      <c r="C241" s="92">
        <v>46183.0</v>
      </c>
      <c r="D241" s="93">
        <v>1000.0</v>
      </c>
      <c r="E241" s="125" t="s">
        <v>102</v>
      </c>
      <c r="F241" s="106">
        <f t="shared" si="26"/>
        <v>46183</v>
      </c>
      <c r="G241" s="111" t="s">
        <v>95</v>
      </c>
      <c r="H241" s="97" t="s">
        <v>106</v>
      </c>
      <c r="I241" s="107"/>
    </row>
    <row r="242" ht="22.5" hidden="1" customHeight="1">
      <c r="A242" s="90" t="s">
        <v>92</v>
      </c>
      <c r="B242" s="91" t="s">
        <v>157</v>
      </c>
      <c r="C242" s="100">
        <v>46186.0</v>
      </c>
      <c r="D242" s="93">
        <v>-718.07</v>
      </c>
      <c r="E242" s="102" t="s">
        <v>102</v>
      </c>
      <c r="F242" s="106">
        <f t="shared" si="26"/>
        <v>46186</v>
      </c>
      <c r="G242" s="104" t="s">
        <v>95</v>
      </c>
      <c r="H242" s="97" t="s">
        <v>96</v>
      </c>
      <c r="I242" s="105"/>
    </row>
    <row r="243" ht="22.5" hidden="1" customHeight="1">
      <c r="A243" s="97" t="s">
        <v>92</v>
      </c>
      <c r="B243" s="99" t="s">
        <v>19</v>
      </c>
      <c r="C243" s="100">
        <v>46204.0</v>
      </c>
      <c r="D243" s="101">
        <v>-1000.0</v>
      </c>
      <c r="E243" s="102" t="s">
        <v>102</v>
      </c>
      <c r="F243" s="106">
        <f t="shared" si="26"/>
        <v>46204</v>
      </c>
      <c r="G243" s="104" t="s">
        <v>95</v>
      </c>
      <c r="H243" s="97" t="s">
        <v>96</v>
      </c>
      <c r="I243" s="105"/>
    </row>
    <row r="244" ht="22.5" hidden="1" customHeight="1">
      <c r="A244" s="110" t="s">
        <v>104</v>
      </c>
      <c r="B244" s="112" t="s">
        <v>45</v>
      </c>
      <c r="C244" s="92">
        <v>46204.0</v>
      </c>
      <c r="D244" s="93">
        <v>3000.0</v>
      </c>
      <c r="E244" s="125" t="s">
        <v>102</v>
      </c>
      <c r="F244" s="106">
        <f t="shared" si="26"/>
        <v>46204</v>
      </c>
      <c r="G244" s="111" t="s">
        <v>95</v>
      </c>
      <c r="H244" s="110" t="s">
        <v>106</v>
      </c>
      <c r="I244" s="107"/>
    </row>
    <row r="245" ht="22.5" hidden="1" customHeight="1">
      <c r="A245" s="97" t="s">
        <v>109</v>
      </c>
      <c r="B245" s="99" t="s">
        <v>22</v>
      </c>
      <c r="C245" s="100">
        <v>46204.0</v>
      </c>
      <c r="D245" s="101">
        <v>-1000.0</v>
      </c>
      <c r="E245" s="102" t="s">
        <v>102</v>
      </c>
      <c r="F245" s="106">
        <f t="shared" si="26"/>
        <v>46204</v>
      </c>
      <c r="G245" s="104" t="s">
        <v>95</v>
      </c>
      <c r="H245" s="97" t="s">
        <v>96</v>
      </c>
      <c r="I245" s="105"/>
    </row>
    <row r="246" ht="22.5" hidden="1" customHeight="1">
      <c r="A246" s="97" t="s">
        <v>109</v>
      </c>
      <c r="B246" s="99" t="s">
        <v>110</v>
      </c>
      <c r="C246" s="100">
        <v>46204.0</v>
      </c>
      <c r="D246" s="101">
        <v>-550.0</v>
      </c>
      <c r="E246" s="102" t="s">
        <v>102</v>
      </c>
      <c r="F246" s="106">
        <f t="shared" si="26"/>
        <v>46204</v>
      </c>
      <c r="G246" s="104" t="s">
        <v>95</v>
      </c>
      <c r="H246" s="97" t="s">
        <v>96</v>
      </c>
      <c r="I246" s="105"/>
    </row>
    <row r="247" ht="22.5" hidden="1" customHeight="1">
      <c r="A247" s="90" t="s">
        <v>111</v>
      </c>
      <c r="B247" s="91" t="s">
        <v>112</v>
      </c>
      <c r="C247" s="92">
        <v>46204.0</v>
      </c>
      <c r="D247" s="93">
        <v>-379.5</v>
      </c>
      <c r="E247" s="94" t="s">
        <v>102</v>
      </c>
      <c r="F247" s="92"/>
      <c r="G247" s="111" t="s">
        <v>95</v>
      </c>
      <c r="H247" s="97" t="s">
        <v>96</v>
      </c>
      <c r="I247" s="107"/>
    </row>
    <row r="248" ht="22.5" hidden="1" customHeight="1">
      <c r="A248" s="97" t="s">
        <v>109</v>
      </c>
      <c r="B248" s="99" t="s">
        <v>15</v>
      </c>
      <c r="C248" s="100">
        <v>46204.0</v>
      </c>
      <c r="D248" s="101">
        <v>-700.0</v>
      </c>
      <c r="E248" s="102" t="s">
        <v>102</v>
      </c>
      <c r="F248" s="106">
        <f t="shared" ref="F248:F252" si="27">C248</f>
        <v>46204</v>
      </c>
      <c r="G248" s="104" t="s">
        <v>95</v>
      </c>
      <c r="H248" s="97" t="s">
        <v>96</v>
      </c>
      <c r="I248" s="105"/>
    </row>
    <row r="249" ht="22.5" hidden="1" customHeight="1">
      <c r="A249" s="97" t="s">
        <v>109</v>
      </c>
      <c r="B249" s="99" t="s">
        <v>17</v>
      </c>
      <c r="C249" s="100">
        <v>46204.0</v>
      </c>
      <c r="D249" s="101">
        <v>-1924.0</v>
      </c>
      <c r="E249" s="102" t="s">
        <v>102</v>
      </c>
      <c r="F249" s="106">
        <f t="shared" si="27"/>
        <v>46204</v>
      </c>
      <c r="G249" s="104" t="s">
        <v>95</v>
      </c>
      <c r="H249" s="97" t="s">
        <v>96</v>
      </c>
      <c r="I249" s="105"/>
    </row>
    <row r="250" ht="22.5" hidden="1" customHeight="1">
      <c r="A250" s="110" t="s">
        <v>104</v>
      </c>
      <c r="B250" s="91" t="s">
        <v>105</v>
      </c>
      <c r="C250" s="92">
        <v>46208.0</v>
      </c>
      <c r="D250" s="93">
        <v>19000.0</v>
      </c>
      <c r="E250" s="125" t="s">
        <v>102</v>
      </c>
      <c r="F250" s="106">
        <f t="shared" si="27"/>
        <v>46208</v>
      </c>
      <c r="G250" s="111" t="s">
        <v>95</v>
      </c>
      <c r="H250" s="110" t="s">
        <v>106</v>
      </c>
      <c r="I250" s="107"/>
    </row>
    <row r="251" ht="22.5" hidden="1" customHeight="1">
      <c r="A251" s="97" t="s">
        <v>92</v>
      </c>
      <c r="B251" s="99" t="s">
        <v>132</v>
      </c>
      <c r="C251" s="100">
        <v>46213.0</v>
      </c>
      <c r="D251" s="101">
        <v>-563.17</v>
      </c>
      <c r="E251" s="102" t="s">
        <v>102</v>
      </c>
      <c r="F251" s="106">
        <f t="shared" si="27"/>
        <v>46213</v>
      </c>
      <c r="G251" s="104" t="s">
        <v>95</v>
      </c>
      <c r="H251" s="97" t="s">
        <v>96</v>
      </c>
      <c r="I251" s="105"/>
    </row>
    <row r="252" ht="22.5" hidden="1" customHeight="1">
      <c r="A252" s="97" t="s">
        <v>92</v>
      </c>
      <c r="B252" s="99" t="s">
        <v>155</v>
      </c>
      <c r="C252" s="100">
        <v>46213.0</v>
      </c>
      <c r="D252" s="101">
        <v>-600.0</v>
      </c>
      <c r="E252" s="102" t="s">
        <v>102</v>
      </c>
      <c r="F252" s="106">
        <f t="shared" si="27"/>
        <v>46213</v>
      </c>
      <c r="G252" s="104" t="s">
        <v>95</v>
      </c>
      <c r="H252" s="97" t="s">
        <v>96</v>
      </c>
      <c r="I252" s="105"/>
    </row>
    <row r="253" ht="22.5" hidden="1" customHeight="1">
      <c r="A253" s="90" t="s">
        <v>141</v>
      </c>
      <c r="B253" s="91" t="s">
        <v>153</v>
      </c>
      <c r="C253" s="92">
        <v>46213.0</v>
      </c>
      <c r="D253" s="93">
        <v>-145.48</v>
      </c>
      <c r="E253" s="94" t="s">
        <v>102</v>
      </c>
      <c r="F253" s="115">
        <v>46131.0</v>
      </c>
      <c r="G253" s="111" t="s">
        <v>95</v>
      </c>
      <c r="H253" s="97" t="s">
        <v>96</v>
      </c>
      <c r="I253" s="107"/>
    </row>
    <row r="254" ht="22.5" hidden="1" customHeight="1">
      <c r="A254" s="90" t="s">
        <v>141</v>
      </c>
      <c r="B254" s="91" t="s">
        <v>154</v>
      </c>
      <c r="C254" s="92">
        <v>46213.0</v>
      </c>
      <c r="D254" s="93">
        <v>-145.48</v>
      </c>
      <c r="E254" s="94" t="s">
        <v>102</v>
      </c>
      <c r="F254" s="115">
        <v>46131.0</v>
      </c>
      <c r="G254" s="111" t="s">
        <v>95</v>
      </c>
      <c r="H254" s="97" t="s">
        <v>96</v>
      </c>
      <c r="I254" s="107"/>
    </row>
    <row r="255" ht="22.5" hidden="1" customHeight="1">
      <c r="A255" s="97" t="s">
        <v>92</v>
      </c>
      <c r="B255" s="99" t="s">
        <v>101</v>
      </c>
      <c r="C255" s="100">
        <v>46213.0</v>
      </c>
      <c r="D255" s="101">
        <v>-450.0</v>
      </c>
      <c r="E255" s="94" t="s">
        <v>102</v>
      </c>
      <c r="F255" s="103">
        <v>46000.0</v>
      </c>
      <c r="G255" s="104" t="s">
        <v>95</v>
      </c>
      <c r="H255" s="97" t="s">
        <v>96</v>
      </c>
      <c r="I255" s="105"/>
    </row>
    <row r="256" ht="22.5" hidden="1" customHeight="1">
      <c r="A256" s="90" t="s">
        <v>135</v>
      </c>
      <c r="B256" s="99" t="s">
        <v>136</v>
      </c>
      <c r="C256" s="100">
        <v>46213.0</v>
      </c>
      <c r="D256" s="101">
        <v>-58.47</v>
      </c>
      <c r="E256" s="94" t="s">
        <v>102</v>
      </c>
      <c r="F256" s="106">
        <f t="shared" ref="F256:F263" si="28">C256</f>
        <v>46213</v>
      </c>
      <c r="G256" s="111" t="s">
        <v>95</v>
      </c>
      <c r="H256" s="97" t="s">
        <v>96</v>
      </c>
      <c r="I256" s="105"/>
    </row>
    <row r="257" ht="22.5" hidden="1" customHeight="1">
      <c r="A257" s="90" t="s">
        <v>135</v>
      </c>
      <c r="B257" s="91" t="s">
        <v>137</v>
      </c>
      <c r="C257" s="92">
        <v>46213.0</v>
      </c>
      <c r="D257" s="93">
        <v>-3000.0</v>
      </c>
      <c r="E257" s="94" t="s">
        <v>102</v>
      </c>
      <c r="F257" s="118">
        <f t="shared" si="28"/>
        <v>46213</v>
      </c>
      <c r="G257" s="104" t="s">
        <v>95</v>
      </c>
      <c r="H257" s="97" t="s">
        <v>96</v>
      </c>
      <c r="I257" s="98" t="s">
        <v>66</v>
      </c>
    </row>
    <row r="258" ht="22.5" hidden="1" customHeight="1">
      <c r="A258" s="90" t="s">
        <v>92</v>
      </c>
      <c r="B258" s="91" t="s">
        <v>140</v>
      </c>
      <c r="C258" s="115">
        <v>46213.0</v>
      </c>
      <c r="D258" s="101">
        <v>-89.9</v>
      </c>
      <c r="E258" s="94" t="s">
        <v>102</v>
      </c>
      <c r="F258" s="115">
        <f t="shared" si="28"/>
        <v>46213</v>
      </c>
      <c r="G258" s="111" t="s">
        <v>95</v>
      </c>
      <c r="H258" s="97" t="s">
        <v>96</v>
      </c>
      <c r="I258" s="114"/>
    </row>
    <row r="259" ht="22.5" hidden="1" customHeight="1">
      <c r="A259" s="90" t="s">
        <v>92</v>
      </c>
      <c r="B259" s="91" t="s">
        <v>156</v>
      </c>
      <c r="C259" s="92">
        <v>46213.0</v>
      </c>
      <c r="D259" s="93">
        <v>1000.0</v>
      </c>
      <c r="E259" s="125" t="s">
        <v>102</v>
      </c>
      <c r="F259" s="106">
        <f t="shared" si="28"/>
        <v>46213</v>
      </c>
      <c r="G259" s="111" t="s">
        <v>95</v>
      </c>
      <c r="H259" s="97" t="s">
        <v>106</v>
      </c>
      <c r="I259" s="107"/>
    </row>
    <row r="260" ht="22.5" hidden="1" customHeight="1">
      <c r="A260" s="97" t="s">
        <v>92</v>
      </c>
      <c r="B260" s="99" t="s">
        <v>19</v>
      </c>
      <c r="C260" s="100">
        <v>46235.0</v>
      </c>
      <c r="D260" s="101">
        <v>-1000.0</v>
      </c>
      <c r="E260" s="102" t="s">
        <v>102</v>
      </c>
      <c r="F260" s="106">
        <f t="shared" si="28"/>
        <v>46235</v>
      </c>
      <c r="G260" s="104" t="s">
        <v>95</v>
      </c>
      <c r="H260" s="97" t="s">
        <v>96</v>
      </c>
      <c r="I260" s="105"/>
    </row>
    <row r="261" ht="22.5" hidden="1" customHeight="1">
      <c r="A261" s="110" t="s">
        <v>104</v>
      </c>
      <c r="B261" s="112" t="s">
        <v>45</v>
      </c>
      <c r="C261" s="92">
        <v>46235.0</v>
      </c>
      <c r="D261" s="93">
        <v>3000.0</v>
      </c>
      <c r="E261" s="125" t="s">
        <v>102</v>
      </c>
      <c r="F261" s="106">
        <f t="shared" si="28"/>
        <v>46235</v>
      </c>
      <c r="G261" s="111" t="s">
        <v>95</v>
      </c>
      <c r="H261" s="110" t="s">
        <v>106</v>
      </c>
      <c r="I261" s="107"/>
    </row>
    <row r="262" ht="22.5" hidden="1" customHeight="1">
      <c r="A262" s="97" t="s">
        <v>109</v>
      </c>
      <c r="B262" s="99" t="s">
        <v>22</v>
      </c>
      <c r="C262" s="100">
        <v>46235.0</v>
      </c>
      <c r="D262" s="101">
        <v>-1000.0</v>
      </c>
      <c r="E262" s="102" t="s">
        <v>102</v>
      </c>
      <c r="F262" s="106">
        <f t="shared" si="28"/>
        <v>46235</v>
      </c>
      <c r="G262" s="104" t="s">
        <v>95</v>
      </c>
      <c r="H262" s="97" t="s">
        <v>96</v>
      </c>
      <c r="I262" s="105"/>
    </row>
    <row r="263" ht="22.5" hidden="1" customHeight="1">
      <c r="A263" s="97" t="s">
        <v>109</v>
      </c>
      <c r="B263" s="99" t="s">
        <v>110</v>
      </c>
      <c r="C263" s="100">
        <v>46235.0</v>
      </c>
      <c r="D263" s="101">
        <v>-550.0</v>
      </c>
      <c r="E263" s="102" t="s">
        <v>102</v>
      </c>
      <c r="F263" s="106">
        <f t="shared" si="28"/>
        <v>46235</v>
      </c>
      <c r="G263" s="104" t="s">
        <v>95</v>
      </c>
      <c r="H263" s="97" t="s">
        <v>96</v>
      </c>
      <c r="I263" s="105"/>
    </row>
    <row r="264" ht="22.5" hidden="1" customHeight="1">
      <c r="A264" s="90" t="s">
        <v>111</v>
      </c>
      <c r="B264" s="91" t="s">
        <v>112</v>
      </c>
      <c r="C264" s="92">
        <v>46235.0</v>
      </c>
      <c r="D264" s="93">
        <v>-379.5</v>
      </c>
      <c r="E264" s="94" t="s">
        <v>102</v>
      </c>
      <c r="F264" s="92"/>
      <c r="G264" s="111" t="s">
        <v>95</v>
      </c>
      <c r="H264" s="97" t="s">
        <v>96</v>
      </c>
      <c r="I264" s="107"/>
    </row>
    <row r="265" ht="22.5" hidden="1" customHeight="1">
      <c r="A265" s="97" t="s">
        <v>109</v>
      </c>
      <c r="B265" s="99" t="s">
        <v>15</v>
      </c>
      <c r="C265" s="100">
        <v>46235.0</v>
      </c>
      <c r="D265" s="101">
        <v>-700.0</v>
      </c>
      <c r="E265" s="102" t="s">
        <v>102</v>
      </c>
      <c r="F265" s="106">
        <f t="shared" ref="F265:F269" si="29">C265</f>
        <v>46235</v>
      </c>
      <c r="G265" s="104" t="s">
        <v>95</v>
      </c>
      <c r="H265" s="97" t="s">
        <v>96</v>
      </c>
      <c r="I265" s="105"/>
    </row>
    <row r="266" ht="22.5" hidden="1" customHeight="1">
      <c r="A266" s="97" t="s">
        <v>109</v>
      </c>
      <c r="B266" s="99" t="s">
        <v>17</v>
      </c>
      <c r="C266" s="100">
        <v>46235.0</v>
      </c>
      <c r="D266" s="101">
        <v>-1924.0</v>
      </c>
      <c r="E266" s="102" t="s">
        <v>102</v>
      </c>
      <c r="F266" s="106">
        <f t="shared" si="29"/>
        <v>46235</v>
      </c>
      <c r="G266" s="104" t="s">
        <v>95</v>
      </c>
      <c r="H266" s="97" t="s">
        <v>96</v>
      </c>
      <c r="I266" s="105"/>
    </row>
    <row r="267" ht="22.5" hidden="1" customHeight="1">
      <c r="A267" s="110" t="s">
        <v>104</v>
      </c>
      <c r="B267" s="91" t="s">
        <v>105</v>
      </c>
      <c r="C267" s="92">
        <v>46239.0</v>
      </c>
      <c r="D267" s="93">
        <v>19000.0</v>
      </c>
      <c r="E267" s="125" t="s">
        <v>102</v>
      </c>
      <c r="F267" s="106">
        <f t="shared" si="29"/>
        <v>46239</v>
      </c>
      <c r="G267" s="111" t="s">
        <v>95</v>
      </c>
      <c r="H267" s="110" t="s">
        <v>106</v>
      </c>
      <c r="I267" s="107"/>
    </row>
    <row r="268" ht="22.5" hidden="1" customHeight="1">
      <c r="A268" s="97" t="s">
        <v>92</v>
      </c>
      <c r="B268" s="99" t="s">
        <v>132</v>
      </c>
      <c r="C268" s="100">
        <v>46244.0</v>
      </c>
      <c r="D268" s="101">
        <v>-563.17</v>
      </c>
      <c r="E268" s="102" t="s">
        <v>102</v>
      </c>
      <c r="F268" s="106">
        <f t="shared" si="29"/>
        <v>46244</v>
      </c>
      <c r="G268" s="104" t="s">
        <v>95</v>
      </c>
      <c r="H268" s="97" t="s">
        <v>96</v>
      </c>
      <c r="I268" s="105"/>
    </row>
    <row r="269" ht="22.5" hidden="1" customHeight="1">
      <c r="A269" s="97" t="s">
        <v>92</v>
      </c>
      <c r="B269" s="99" t="s">
        <v>155</v>
      </c>
      <c r="C269" s="100">
        <v>46244.0</v>
      </c>
      <c r="D269" s="101">
        <v>-600.0</v>
      </c>
      <c r="E269" s="102" t="s">
        <v>102</v>
      </c>
      <c r="F269" s="106">
        <f t="shared" si="29"/>
        <v>46244</v>
      </c>
      <c r="G269" s="104" t="s">
        <v>95</v>
      </c>
      <c r="H269" s="97" t="s">
        <v>96</v>
      </c>
      <c r="I269" s="105"/>
    </row>
    <row r="270" ht="22.5" hidden="1" customHeight="1">
      <c r="A270" s="90" t="s">
        <v>141</v>
      </c>
      <c r="B270" s="91" t="s">
        <v>153</v>
      </c>
      <c r="C270" s="92">
        <v>46244.0</v>
      </c>
      <c r="D270" s="93">
        <v>-145.48</v>
      </c>
      <c r="E270" s="94" t="s">
        <v>102</v>
      </c>
      <c r="F270" s="115">
        <v>46131.0</v>
      </c>
      <c r="G270" s="111" t="s">
        <v>95</v>
      </c>
      <c r="H270" s="97" t="s">
        <v>96</v>
      </c>
      <c r="I270" s="107"/>
    </row>
    <row r="271" ht="22.5" hidden="1" customHeight="1">
      <c r="A271" s="90" t="s">
        <v>141</v>
      </c>
      <c r="B271" s="91" t="s">
        <v>154</v>
      </c>
      <c r="C271" s="92">
        <v>46244.0</v>
      </c>
      <c r="D271" s="93">
        <v>-145.48</v>
      </c>
      <c r="E271" s="94" t="s">
        <v>102</v>
      </c>
      <c r="F271" s="115">
        <v>46131.0</v>
      </c>
      <c r="G271" s="111" t="s">
        <v>95</v>
      </c>
      <c r="H271" s="97" t="s">
        <v>96</v>
      </c>
      <c r="I271" s="107"/>
    </row>
    <row r="272" ht="22.5" hidden="1" customHeight="1">
      <c r="A272" s="97" t="s">
        <v>92</v>
      </c>
      <c r="B272" s="99" t="s">
        <v>101</v>
      </c>
      <c r="C272" s="100">
        <v>46244.0</v>
      </c>
      <c r="D272" s="101">
        <v>-450.0</v>
      </c>
      <c r="E272" s="94" t="s">
        <v>102</v>
      </c>
      <c r="F272" s="103">
        <v>46000.0</v>
      </c>
      <c r="G272" s="104" t="s">
        <v>95</v>
      </c>
      <c r="H272" s="97" t="s">
        <v>96</v>
      </c>
      <c r="I272" s="105"/>
    </row>
    <row r="273" ht="22.5" hidden="1" customHeight="1">
      <c r="A273" s="90" t="s">
        <v>135</v>
      </c>
      <c r="B273" s="99" t="s">
        <v>136</v>
      </c>
      <c r="C273" s="100">
        <v>46244.0</v>
      </c>
      <c r="D273" s="101">
        <v>-58.47</v>
      </c>
      <c r="E273" s="94" t="s">
        <v>102</v>
      </c>
      <c r="F273" s="106">
        <f t="shared" ref="F273:F282" si="30">C273</f>
        <v>46244</v>
      </c>
      <c r="G273" s="111" t="s">
        <v>95</v>
      </c>
      <c r="H273" s="97" t="s">
        <v>96</v>
      </c>
      <c r="I273" s="105"/>
    </row>
    <row r="274" ht="22.5" hidden="1" customHeight="1">
      <c r="A274" s="90" t="s">
        <v>135</v>
      </c>
      <c r="B274" s="91" t="s">
        <v>137</v>
      </c>
      <c r="C274" s="92">
        <v>46244.0</v>
      </c>
      <c r="D274" s="93">
        <v>-3000.0</v>
      </c>
      <c r="E274" s="94" t="s">
        <v>102</v>
      </c>
      <c r="F274" s="118">
        <f t="shared" si="30"/>
        <v>46244</v>
      </c>
      <c r="G274" s="104" t="s">
        <v>95</v>
      </c>
      <c r="H274" s="97" t="s">
        <v>96</v>
      </c>
      <c r="I274" s="98" t="s">
        <v>66</v>
      </c>
    </row>
    <row r="275" ht="22.5" hidden="1" customHeight="1">
      <c r="A275" s="90" t="s">
        <v>92</v>
      </c>
      <c r="B275" s="91" t="s">
        <v>140</v>
      </c>
      <c r="C275" s="115">
        <v>46244.0</v>
      </c>
      <c r="D275" s="101">
        <v>-89.9</v>
      </c>
      <c r="E275" s="94" t="s">
        <v>102</v>
      </c>
      <c r="F275" s="115">
        <f t="shared" si="30"/>
        <v>46244</v>
      </c>
      <c r="G275" s="111" t="s">
        <v>95</v>
      </c>
      <c r="H275" s="97" t="s">
        <v>96</v>
      </c>
      <c r="I275" s="114"/>
    </row>
    <row r="276" ht="22.5" hidden="1" customHeight="1">
      <c r="A276" s="90" t="s">
        <v>141</v>
      </c>
      <c r="B276" s="91" t="s">
        <v>142</v>
      </c>
      <c r="C276" s="92">
        <v>46006.0</v>
      </c>
      <c r="D276" s="93">
        <v>-254.81</v>
      </c>
      <c r="E276" s="102" t="s">
        <v>94</v>
      </c>
      <c r="F276" s="115">
        <f t="shared" si="30"/>
        <v>46006</v>
      </c>
      <c r="G276" s="111" t="s">
        <v>95</v>
      </c>
      <c r="H276" s="97" t="s">
        <v>96</v>
      </c>
      <c r="I276" s="107"/>
    </row>
    <row r="277" ht="22.5" hidden="1" customHeight="1">
      <c r="A277" s="90" t="s">
        <v>92</v>
      </c>
      <c r="B277" s="91" t="s">
        <v>156</v>
      </c>
      <c r="C277" s="92">
        <v>46244.0</v>
      </c>
      <c r="D277" s="93">
        <v>1000.0</v>
      </c>
      <c r="E277" s="125" t="s">
        <v>102</v>
      </c>
      <c r="F277" s="106">
        <f t="shared" si="30"/>
        <v>46244</v>
      </c>
      <c r="G277" s="111" t="s">
        <v>95</v>
      </c>
      <c r="H277" s="97" t="s">
        <v>106</v>
      </c>
      <c r="I277" s="107"/>
    </row>
    <row r="278" ht="22.5" hidden="1" customHeight="1">
      <c r="A278" s="97" t="s">
        <v>92</v>
      </c>
      <c r="B278" s="99" t="s">
        <v>19</v>
      </c>
      <c r="C278" s="100">
        <v>46266.0</v>
      </c>
      <c r="D278" s="101">
        <v>-1000.0</v>
      </c>
      <c r="E278" s="102" t="s">
        <v>102</v>
      </c>
      <c r="F278" s="106">
        <f t="shared" si="30"/>
        <v>46266</v>
      </c>
      <c r="G278" s="104" t="s">
        <v>95</v>
      </c>
      <c r="H278" s="97" t="s">
        <v>96</v>
      </c>
      <c r="I278" s="105"/>
    </row>
    <row r="279" ht="22.5" hidden="1" customHeight="1">
      <c r="A279" s="110" t="s">
        <v>104</v>
      </c>
      <c r="B279" s="112" t="s">
        <v>45</v>
      </c>
      <c r="C279" s="92">
        <v>46266.0</v>
      </c>
      <c r="D279" s="93">
        <v>3000.0</v>
      </c>
      <c r="E279" s="125" t="s">
        <v>102</v>
      </c>
      <c r="F279" s="106">
        <f t="shared" si="30"/>
        <v>46266</v>
      </c>
      <c r="G279" s="111" t="s">
        <v>95</v>
      </c>
      <c r="H279" s="110" t="s">
        <v>106</v>
      </c>
      <c r="I279" s="107"/>
    </row>
    <row r="280" ht="22.5" hidden="1" customHeight="1">
      <c r="A280" s="97" t="s">
        <v>109</v>
      </c>
      <c r="B280" s="99" t="s">
        <v>22</v>
      </c>
      <c r="C280" s="100">
        <v>46266.0</v>
      </c>
      <c r="D280" s="101">
        <v>-1000.0</v>
      </c>
      <c r="E280" s="102" t="s">
        <v>102</v>
      </c>
      <c r="F280" s="106">
        <f t="shared" si="30"/>
        <v>46266</v>
      </c>
      <c r="G280" s="104" t="s">
        <v>95</v>
      </c>
      <c r="H280" s="97" t="s">
        <v>96</v>
      </c>
      <c r="I280" s="105"/>
    </row>
    <row r="281" ht="22.5" hidden="1" customHeight="1">
      <c r="A281" s="97" t="s">
        <v>109</v>
      </c>
      <c r="B281" s="99" t="s">
        <v>110</v>
      </c>
      <c r="C281" s="100">
        <v>46266.0</v>
      </c>
      <c r="D281" s="101">
        <v>-550.0</v>
      </c>
      <c r="E281" s="102" t="s">
        <v>102</v>
      </c>
      <c r="F281" s="106">
        <f t="shared" si="30"/>
        <v>46266</v>
      </c>
      <c r="G281" s="104" t="s">
        <v>95</v>
      </c>
      <c r="H281" s="97" t="s">
        <v>96</v>
      </c>
      <c r="I281" s="105"/>
    </row>
    <row r="282" ht="22.5" hidden="1" customHeight="1">
      <c r="A282" s="97" t="s">
        <v>109</v>
      </c>
      <c r="B282" s="99" t="s">
        <v>17</v>
      </c>
      <c r="C282" s="100">
        <v>45992.0</v>
      </c>
      <c r="D282" s="101">
        <v>-1924.0</v>
      </c>
      <c r="E282" s="102" t="s">
        <v>94</v>
      </c>
      <c r="F282" s="106">
        <f t="shared" si="30"/>
        <v>45992</v>
      </c>
      <c r="G282" s="104" t="s">
        <v>95</v>
      </c>
      <c r="H282" s="97" t="s">
        <v>96</v>
      </c>
      <c r="I282" s="105"/>
    </row>
    <row r="283" ht="22.5" hidden="1" customHeight="1">
      <c r="A283" s="90" t="s">
        <v>111</v>
      </c>
      <c r="B283" s="91" t="s">
        <v>112</v>
      </c>
      <c r="C283" s="92">
        <v>46266.0</v>
      </c>
      <c r="D283" s="93">
        <v>-379.5</v>
      </c>
      <c r="E283" s="94" t="s">
        <v>102</v>
      </c>
      <c r="F283" s="92"/>
      <c r="G283" s="111" t="s">
        <v>95</v>
      </c>
      <c r="H283" s="97" t="s">
        <v>96</v>
      </c>
      <c r="I283" s="107"/>
    </row>
    <row r="284" ht="22.5" hidden="1" customHeight="1">
      <c r="A284" s="97" t="s">
        <v>109</v>
      </c>
      <c r="B284" s="99" t="s">
        <v>15</v>
      </c>
      <c r="C284" s="100">
        <v>46266.0</v>
      </c>
      <c r="D284" s="101">
        <v>-700.0</v>
      </c>
      <c r="E284" s="102" t="s">
        <v>102</v>
      </c>
      <c r="F284" s="106">
        <f t="shared" ref="F284:F288" si="31">C284</f>
        <v>46266</v>
      </c>
      <c r="G284" s="104" t="s">
        <v>95</v>
      </c>
      <c r="H284" s="97" t="s">
        <v>96</v>
      </c>
      <c r="I284" s="105"/>
    </row>
    <row r="285" ht="22.5" hidden="1" customHeight="1">
      <c r="A285" s="97" t="s">
        <v>109</v>
      </c>
      <c r="B285" s="99" t="s">
        <v>17</v>
      </c>
      <c r="C285" s="100">
        <v>46266.0</v>
      </c>
      <c r="D285" s="101">
        <v>-1924.0</v>
      </c>
      <c r="E285" s="102" t="s">
        <v>102</v>
      </c>
      <c r="F285" s="106">
        <f t="shared" si="31"/>
        <v>46266</v>
      </c>
      <c r="G285" s="104" t="s">
        <v>95</v>
      </c>
      <c r="H285" s="97" t="s">
        <v>96</v>
      </c>
      <c r="I285" s="105"/>
    </row>
    <row r="286" ht="22.5" hidden="1" customHeight="1">
      <c r="A286" s="110" t="s">
        <v>104</v>
      </c>
      <c r="B286" s="91" t="s">
        <v>105</v>
      </c>
      <c r="C286" s="92">
        <v>46270.0</v>
      </c>
      <c r="D286" s="93">
        <v>19000.0</v>
      </c>
      <c r="E286" s="125" t="s">
        <v>102</v>
      </c>
      <c r="F286" s="106">
        <f t="shared" si="31"/>
        <v>46270</v>
      </c>
      <c r="G286" s="111" t="s">
        <v>95</v>
      </c>
      <c r="H286" s="110" t="s">
        <v>106</v>
      </c>
      <c r="I286" s="107"/>
    </row>
    <row r="287" ht="22.5" hidden="1" customHeight="1">
      <c r="A287" s="97" t="s">
        <v>92</v>
      </c>
      <c r="B287" s="99" t="s">
        <v>132</v>
      </c>
      <c r="C287" s="100">
        <v>46275.0</v>
      </c>
      <c r="D287" s="101">
        <v>-563.17</v>
      </c>
      <c r="E287" s="102" t="s">
        <v>102</v>
      </c>
      <c r="F287" s="106">
        <f t="shared" si="31"/>
        <v>46275</v>
      </c>
      <c r="G287" s="104" t="s">
        <v>95</v>
      </c>
      <c r="H287" s="97" t="s">
        <v>96</v>
      </c>
      <c r="I287" s="105"/>
    </row>
    <row r="288" ht="22.5" hidden="1" customHeight="1">
      <c r="A288" s="97" t="s">
        <v>92</v>
      </c>
      <c r="B288" s="99" t="s">
        <v>155</v>
      </c>
      <c r="C288" s="100">
        <v>46275.0</v>
      </c>
      <c r="D288" s="101">
        <v>-600.0</v>
      </c>
      <c r="E288" s="102" t="s">
        <v>102</v>
      </c>
      <c r="F288" s="106">
        <f t="shared" si="31"/>
        <v>46275</v>
      </c>
      <c r="G288" s="104" t="s">
        <v>95</v>
      </c>
      <c r="H288" s="97" t="s">
        <v>96</v>
      </c>
      <c r="I288" s="105"/>
    </row>
    <row r="289" ht="22.5" hidden="1" customHeight="1">
      <c r="A289" s="90" t="s">
        <v>141</v>
      </c>
      <c r="B289" s="91" t="s">
        <v>153</v>
      </c>
      <c r="C289" s="92">
        <v>46275.0</v>
      </c>
      <c r="D289" s="93">
        <v>-145.48</v>
      </c>
      <c r="E289" s="94" t="s">
        <v>102</v>
      </c>
      <c r="F289" s="115">
        <v>46131.0</v>
      </c>
      <c r="G289" s="111" t="s">
        <v>95</v>
      </c>
      <c r="H289" s="97" t="s">
        <v>96</v>
      </c>
      <c r="I289" s="107"/>
    </row>
    <row r="290" ht="22.5" hidden="1" customHeight="1">
      <c r="A290" s="90" t="s">
        <v>141</v>
      </c>
      <c r="B290" s="91" t="s">
        <v>154</v>
      </c>
      <c r="C290" s="92">
        <v>46275.0</v>
      </c>
      <c r="D290" s="93">
        <v>-145.48</v>
      </c>
      <c r="E290" s="94" t="s">
        <v>102</v>
      </c>
      <c r="F290" s="115">
        <v>46131.0</v>
      </c>
      <c r="G290" s="111" t="s">
        <v>95</v>
      </c>
      <c r="H290" s="97" t="s">
        <v>96</v>
      </c>
      <c r="I290" s="107"/>
    </row>
    <row r="291" ht="22.5" hidden="1" customHeight="1">
      <c r="A291" s="97" t="s">
        <v>92</v>
      </c>
      <c r="B291" s="99" t="s">
        <v>101</v>
      </c>
      <c r="C291" s="100">
        <v>46275.0</v>
      </c>
      <c r="D291" s="101">
        <v>-450.0</v>
      </c>
      <c r="E291" s="94" t="s">
        <v>102</v>
      </c>
      <c r="F291" s="103">
        <v>46000.0</v>
      </c>
      <c r="G291" s="104" t="s">
        <v>95</v>
      </c>
      <c r="H291" s="97" t="s">
        <v>96</v>
      </c>
      <c r="I291" s="105"/>
    </row>
    <row r="292" ht="22.5" hidden="1" customHeight="1">
      <c r="A292" s="90" t="s">
        <v>135</v>
      </c>
      <c r="B292" s="99" t="s">
        <v>136</v>
      </c>
      <c r="C292" s="100">
        <v>46275.0</v>
      </c>
      <c r="D292" s="101">
        <v>-58.47</v>
      </c>
      <c r="E292" s="94" t="s">
        <v>102</v>
      </c>
      <c r="F292" s="106">
        <f t="shared" ref="F292:F299" si="32">C292</f>
        <v>46275</v>
      </c>
      <c r="G292" s="111" t="s">
        <v>95</v>
      </c>
      <c r="H292" s="97" t="s">
        <v>96</v>
      </c>
      <c r="I292" s="105"/>
    </row>
    <row r="293" ht="22.5" hidden="1" customHeight="1">
      <c r="A293" s="90" t="s">
        <v>135</v>
      </c>
      <c r="B293" s="91" t="s">
        <v>137</v>
      </c>
      <c r="C293" s="92">
        <v>46275.0</v>
      </c>
      <c r="D293" s="93">
        <v>-3000.0</v>
      </c>
      <c r="E293" s="94" t="s">
        <v>102</v>
      </c>
      <c r="F293" s="118">
        <f t="shared" si="32"/>
        <v>46275</v>
      </c>
      <c r="G293" s="104" t="s">
        <v>95</v>
      </c>
      <c r="H293" s="97" t="s">
        <v>96</v>
      </c>
      <c r="I293" s="98" t="s">
        <v>66</v>
      </c>
    </row>
    <row r="294" ht="22.5" hidden="1" customHeight="1">
      <c r="A294" s="90" t="s">
        <v>92</v>
      </c>
      <c r="B294" s="91" t="s">
        <v>140</v>
      </c>
      <c r="C294" s="115">
        <v>46275.0</v>
      </c>
      <c r="D294" s="101">
        <v>-89.9</v>
      </c>
      <c r="E294" s="94" t="s">
        <v>102</v>
      </c>
      <c r="F294" s="115">
        <f t="shared" si="32"/>
        <v>46275</v>
      </c>
      <c r="G294" s="111" t="s">
        <v>95</v>
      </c>
      <c r="H294" s="97" t="s">
        <v>96</v>
      </c>
      <c r="I294" s="114"/>
    </row>
    <row r="295" ht="22.5" hidden="1" customHeight="1">
      <c r="A295" s="90" t="s">
        <v>92</v>
      </c>
      <c r="B295" s="91" t="s">
        <v>156</v>
      </c>
      <c r="C295" s="92">
        <v>46275.0</v>
      </c>
      <c r="D295" s="93">
        <v>1000.0</v>
      </c>
      <c r="E295" s="125" t="s">
        <v>102</v>
      </c>
      <c r="F295" s="106">
        <f t="shared" si="32"/>
        <v>46275</v>
      </c>
      <c r="G295" s="111" t="s">
        <v>95</v>
      </c>
      <c r="H295" s="97" t="s">
        <v>106</v>
      </c>
      <c r="I295" s="107"/>
    </row>
    <row r="296" ht="22.5" hidden="1" customHeight="1">
      <c r="A296" s="97" t="s">
        <v>92</v>
      </c>
      <c r="B296" s="99" t="s">
        <v>19</v>
      </c>
      <c r="C296" s="100">
        <v>46296.0</v>
      </c>
      <c r="D296" s="101">
        <v>-1000.0</v>
      </c>
      <c r="E296" s="102" t="s">
        <v>102</v>
      </c>
      <c r="F296" s="106">
        <f t="shared" si="32"/>
        <v>46296</v>
      </c>
      <c r="G296" s="104" t="s">
        <v>95</v>
      </c>
      <c r="H296" s="97" t="s">
        <v>96</v>
      </c>
      <c r="I296" s="105"/>
    </row>
    <row r="297" ht="22.5" hidden="1" customHeight="1">
      <c r="A297" s="110" t="s">
        <v>104</v>
      </c>
      <c r="B297" s="112" t="s">
        <v>45</v>
      </c>
      <c r="C297" s="92">
        <v>46296.0</v>
      </c>
      <c r="D297" s="93">
        <v>3000.0</v>
      </c>
      <c r="E297" s="125" t="s">
        <v>102</v>
      </c>
      <c r="F297" s="106">
        <f t="shared" si="32"/>
        <v>46296</v>
      </c>
      <c r="G297" s="111" t="s">
        <v>95</v>
      </c>
      <c r="H297" s="110" t="s">
        <v>106</v>
      </c>
      <c r="I297" s="107"/>
    </row>
    <row r="298" ht="22.5" hidden="1" customHeight="1">
      <c r="A298" s="97" t="s">
        <v>109</v>
      </c>
      <c r="B298" s="99" t="s">
        <v>22</v>
      </c>
      <c r="C298" s="100">
        <v>46296.0</v>
      </c>
      <c r="D298" s="101">
        <v>-1000.0</v>
      </c>
      <c r="E298" s="102" t="s">
        <v>102</v>
      </c>
      <c r="F298" s="106">
        <f t="shared" si="32"/>
        <v>46296</v>
      </c>
      <c r="G298" s="104" t="s">
        <v>95</v>
      </c>
      <c r="H298" s="97" t="s">
        <v>96</v>
      </c>
      <c r="I298" s="105"/>
    </row>
    <row r="299" ht="22.5" hidden="1" customHeight="1">
      <c r="A299" s="97" t="s">
        <v>109</v>
      </c>
      <c r="B299" s="99" t="s">
        <v>110</v>
      </c>
      <c r="C299" s="100">
        <v>46296.0</v>
      </c>
      <c r="D299" s="101">
        <v>-550.0</v>
      </c>
      <c r="E299" s="102" t="s">
        <v>102</v>
      </c>
      <c r="F299" s="106">
        <f t="shared" si="32"/>
        <v>46296</v>
      </c>
      <c r="G299" s="104" t="s">
        <v>95</v>
      </c>
      <c r="H299" s="97" t="s">
        <v>96</v>
      </c>
      <c r="I299" s="105"/>
    </row>
    <row r="300" ht="22.5" hidden="1" customHeight="1">
      <c r="A300" s="90" t="s">
        <v>111</v>
      </c>
      <c r="B300" s="91" t="s">
        <v>112</v>
      </c>
      <c r="C300" s="92">
        <v>46296.0</v>
      </c>
      <c r="D300" s="93">
        <v>-379.5</v>
      </c>
      <c r="E300" s="94" t="s">
        <v>102</v>
      </c>
      <c r="F300" s="92"/>
      <c r="G300" s="111" t="s">
        <v>95</v>
      </c>
      <c r="H300" s="97" t="s">
        <v>96</v>
      </c>
      <c r="I300" s="107"/>
    </row>
    <row r="301" ht="22.5" hidden="1" customHeight="1">
      <c r="A301" s="97" t="s">
        <v>109</v>
      </c>
      <c r="B301" s="99" t="s">
        <v>17</v>
      </c>
      <c r="C301" s="100">
        <v>46296.0</v>
      </c>
      <c r="D301" s="101">
        <v>-1924.0</v>
      </c>
      <c r="E301" s="102" t="s">
        <v>102</v>
      </c>
      <c r="F301" s="106">
        <f t="shared" ref="F301:F304" si="33">C301</f>
        <v>46296</v>
      </c>
      <c r="G301" s="104" t="s">
        <v>95</v>
      </c>
      <c r="H301" s="97" t="s">
        <v>96</v>
      </c>
      <c r="I301" s="105"/>
    </row>
    <row r="302" ht="22.5" hidden="1" customHeight="1">
      <c r="A302" s="110" t="s">
        <v>104</v>
      </c>
      <c r="B302" s="91" t="s">
        <v>105</v>
      </c>
      <c r="C302" s="92">
        <v>46300.0</v>
      </c>
      <c r="D302" s="93">
        <v>19000.0</v>
      </c>
      <c r="E302" s="125" t="s">
        <v>102</v>
      </c>
      <c r="F302" s="106">
        <f t="shared" si="33"/>
        <v>46300</v>
      </c>
      <c r="G302" s="111" t="s">
        <v>95</v>
      </c>
      <c r="H302" s="110" t="s">
        <v>106</v>
      </c>
      <c r="I302" s="107"/>
    </row>
    <row r="303" ht="22.5" hidden="1" customHeight="1">
      <c r="A303" s="97" t="s">
        <v>92</v>
      </c>
      <c r="B303" s="99" t="s">
        <v>132</v>
      </c>
      <c r="C303" s="100">
        <v>46305.0</v>
      </c>
      <c r="D303" s="101">
        <v>-563.17</v>
      </c>
      <c r="E303" s="102" t="s">
        <v>102</v>
      </c>
      <c r="F303" s="106">
        <f t="shared" si="33"/>
        <v>46305</v>
      </c>
      <c r="G303" s="104" t="s">
        <v>95</v>
      </c>
      <c r="H303" s="97" t="s">
        <v>96</v>
      </c>
      <c r="I303" s="105"/>
    </row>
    <row r="304" ht="22.5" hidden="1" customHeight="1">
      <c r="A304" s="97" t="s">
        <v>92</v>
      </c>
      <c r="B304" s="99" t="s">
        <v>155</v>
      </c>
      <c r="C304" s="100">
        <v>46305.0</v>
      </c>
      <c r="D304" s="101">
        <v>-600.0</v>
      </c>
      <c r="E304" s="102" t="s">
        <v>102</v>
      </c>
      <c r="F304" s="106">
        <f t="shared" si="33"/>
        <v>46305</v>
      </c>
      <c r="G304" s="104" t="s">
        <v>95</v>
      </c>
      <c r="H304" s="97" t="s">
        <v>96</v>
      </c>
      <c r="I304" s="105"/>
    </row>
    <row r="305" ht="22.5" hidden="1" customHeight="1">
      <c r="A305" s="90" t="s">
        <v>141</v>
      </c>
      <c r="B305" s="91" t="s">
        <v>153</v>
      </c>
      <c r="C305" s="92">
        <v>46305.0</v>
      </c>
      <c r="D305" s="93">
        <v>-145.48</v>
      </c>
      <c r="E305" s="94" t="s">
        <v>102</v>
      </c>
      <c r="F305" s="115">
        <v>46131.0</v>
      </c>
      <c r="G305" s="111" t="s">
        <v>95</v>
      </c>
      <c r="H305" s="97" t="s">
        <v>96</v>
      </c>
      <c r="I305" s="107"/>
    </row>
    <row r="306" ht="22.5" hidden="1" customHeight="1">
      <c r="A306" s="90" t="s">
        <v>141</v>
      </c>
      <c r="B306" s="91" t="s">
        <v>154</v>
      </c>
      <c r="C306" s="92">
        <v>46305.0</v>
      </c>
      <c r="D306" s="93">
        <v>-145.48</v>
      </c>
      <c r="E306" s="94" t="s">
        <v>102</v>
      </c>
      <c r="F306" s="115">
        <v>46131.0</v>
      </c>
      <c r="G306" s="111" t="s">
        <v>95</v>
      </c>
      <c r="H306" s="97" t="s">
        <v>96</v>
      </c>
      <c r="I306" s="107"/>
    </row>
    <row r="307" ht="22.5" hidden="1" customHeight="1">
      <c r="A307" s="97" t="s">
        <v>92</v>
      </c>
      <c r="B307" s="99" t="s">
        <v>101</v>
      </c>
      <c r="C307" s="100">
        <v>46305.0</v>
      </c>
      <c r="D307" s="101">
        <v>-450.0</v>
      </c>
      <c r="E307" s="94" t="s">
        <v>102</v>
      </c>
      <c r="F307" s="103">
        <v>46000.0</v>
      </c>
      <c r="G307" s="104" t="s">
        <v>95</v>
      </c>
      <c r="H307" s="97" t="s">
        <v>96</v>
      </c>
      <c r="I307" s="105"/>
    </row>
    <row r="308" ht="22.5" hidden="1" customHeight="1">
      <c r="A308" s="90" t="s">
        <v>135</v>
      </c>
      <c r="B308" s="99" t="s">
        <v>136</v>
      </c>
      <c r="C308" s="100">
        <v>46305.0</v>
      </c>
      <c r="D308" s="101">
        <v>-58.47</v>
      </c>
      <c r="E308" s="94" t="s">
        <v>102</v>
      </c>
      <c r="F308" s="106">
        <f t="shared" ref="F308:F315" si="34">C308</f>
        <v>46305</v>
      </c>
      <c r="G308" s="111" t="s">
        <v>95</v>
      </c>
      <c r="H308" s="97" t="s">
        <v>96</v>
      </c>
      <c r="I308" s="105"/>
    </row>
    <row r="309" ht="22.5" hidden="1" customHeight="1">
      <c r="A309" s="90" t="s">
        <v>135</v>
      </c>
      <c r="B309" s="91" t="s">
        <v>137</v>
      </c>
      <c r="C309" s="92">
        <v>46305.0</v>
      </c>
      <c r="D309" s="93">
        <v>-3000.0</v>
      </c>
      <c r="E309" s="94" t="s">
        <v>102</v>
      </c>
      <c r="F309" s="118">
        <f t="shared" si="34"/>
        <v>46305</v>
      </c>
      <c r="G309" s="104" t="s">
        <v>95</v>
      </c>
      <c r="H309" s="97" t="s">
        <v>96</v>
      </c>
      <c r="I309" s="98" t="s">
        <v>66</v>
      </c>
    </row>
    <row r="310" ht="22.5" hidden="1" customHeight="1">
      <c r="A310" s="90" t="s">
        <v>92</v>
      </c>
      <c r="B310" s="91" t="s">
        <v>140</v>
      </c>
      <c r="C310" s="115">
        <v>46305.0</v>
      </c>
      <c r="D310" s="101">
        <v>-89.9</v>
      </c>
      <c r="E310" s="94" t="s">
        <v>102</v>
      </c>
      <c r="F310" s="115">
        <f t="shared" si="34"/>
        <v>46305</v>
      </c>
      <c r="G310" s="111" t="s">
        <v>95</v>
      </c>
      <c r="H310" s="97" t="s">
        <v>96</v>
      </c>
      <c r="I310" s="114"/>
    </row>
    <row r="311" ht="22.5" hidden="1" customHeight="1">
      <c r="A311" s="90" t="s">
        <v>92</v>
      </c>
      <c r="B311" s="91" t="s">
        <v>156</v>
      </c>
      <c r="C311" s="92">
        <v>46305.0</v>
      </c>
      <c r="D311" s="93">
        <v>1000.0</v>
      </c>
      <c r="E311" s="125" t="s">
        <v>102</v>
      </c>
      <c r="F311" s="106">
        <f t="shared" si="34"/>
        <v>46305</v>
      </c>
      <c r="G311" s="111" t="s">
        <v>95</v>
      </c>
      <c r="H311" s="97" t="s">
        <v>106</v>
      </c>
      <c r="I311" s="107"/>
    </row>
    <row r="312" ht="22.5" hidden="1" customHeight="1">
      <c r="A312" s="97" t="s">
        <v>92</v>
      </c>
      <c r="B312" s="99" t="s">
        <v>19</v>
      </c>
      <c r="C312" s="100">
        <v>46327.0</v>
      </c>
      <c r="D312" s="101">
        <v>-1000.0</v>
      </c>
      <c r="E312" s="102" t="s">
        <v>102</v>
      </c>
      <c r="F312" s="106">
        <f t="shared" si="34"/>
        <v>46327</v>
      </c>
      <c r="G312" s="104" t="s">
        <v>95</v>
      </c>
      <c r="H312" s="97" t="s">
        <v>96</v>
      </c>
      <c r="I312" s="105"/>
    </row>
    <row r="313" ht="22.5" hidden="1" customHeight="1">
      <c r="A313" s="110" t="s">
        <v>104</v>
      </c>
      <c r="B313" s="112" t="s">
        <v>45</v>
      </c>
      <c r="C313" s="92">
        <v>46327.0</v>
      </c>
      <c r="D313" s="93">
        <v>3000.0</v>
      </c>
      <c r="E313" s="125" t="s">
        <v>102</v>
      </c>
      <c r="F313" s="106">
        <f t="shared" si="34"/>
        <v>46327</v>
      </c>
      <c r="G313" s="111" t="s">
        <v>95</v>
      </c>
      <c r="H313" s="110" t="s">
        <v>106</v>
      </c>
      <c r="I313" s="107"/>
    </row>
    <row r="314" ht="22.5" hidden="1" customHeight="1">
      <c r="A314" s="97" t="s">
        <v>109</v>
      </c>
      <c r="B314" s="99" t="s">
        <v>22</v>
      </c>
      <c r="C314" s="100">
        <v>46327.0</v>
      </c>
      <c r="D314" s="101">
        <v>-1000.0</v>
      </c>
      <c r="E314" s="102" t="s">
        <v>102</v>
      </c>
      <c r="F314" s="106">
        <f t="shared" si="34"/>
        <v>46327</v>
      </c>
      <c r="G314" s="104" t="s">
        <v>95</v>
      </c>
      <c r="H314" s="97" t="s">
        <v>96</v>
      </c>
      <c r="I314" s="105"/>
    </row>
    <row r="315" ht="22.5" hidden="1" customHeight="1">
      <c r="A315" s="97" t="s">
        <v>109</v>
      </c>
      <c r="B315" s="99" t="s">
        <v>110</v>
      </c>
      <c r="C315" s="100">
        <v>46327.0</v>
      </c>
      <c r="D315" s="101">
        <v>-550.0</v>
      </c>
      <c r="E315" s="102" t="s">
        <v>102</v>
      </c>
      <c r="F315" s="106">
        <f t="shared" si="34"/>
        <v>46327</v>
      </c>
      <c r="G315" s="104" t="s">
        <v>95</v>
      </c>
      <c r="H315" s="97" t="s">
        <v>96</v>
      </c>
      <c r="I315" s="105"/>
    </row>
    <row r="316" ht="22.5" hidden="1" customHeight="1">
      <c r="A316" s="90" t="s">
        <v>111</v>
      </c>
      <c r="B316" s="91" t="s">
        <v>112</v>
      </c>
      <c r="C316" s="92">
        <v>46327.0</v>
      </c>
      <c r="D316" s="93">
        <v>-379.5</v>
      </c>
      <c r="E316" s="94" t="s">
        <v>102</v>
      </c>
      <c r="F316" s="92"/>
      <c r="G316" s="111" t="s">
        <v>95</v>
      </c>
      <c r="H316" s="97" t="s">
        <v>96</v>
      </c>
      <c r="I316" s="107"/>
    </row>
    <row r="317" ht="22.5" hidden="1" customHeight="1">
      <c r="A317" s="97" t="s">
        <v>109</v>
      </c>
      <c r="B317" s="99" t="s">
        <v>15</v>
      </c>
      <c r="C317" s="100">
        <v>46327.0</v>
      </c>
      <c r="D317" s="101">
        <v>-700.0</v>
      </c>
      <c r="E317" s="102" t="s">
        <v>102</v>
      </c>
      <c r="F317" s="106">
        <f t="shared" ref="F317:F321" si="35">C317</f>
        <v>46327</v>
      </c>
      <c r="G317" s="104" t="s">
        <v>95</v>
      </c>
      <c r="H317" s="97" t="s">
        <v>96</v>
      </c>
      <c r="I317" s="105"/>
    </row>
    <row r="318" ht="22.5" hidden="1" customHeight="1">
      <c r="A318" s="97" t="s">
        <v>109</v>
      </c>
      <c r="B318" s="99" t="s">
        <v>17</v>
      </c>
      <c r="C318" s="100">
        <v>46327.0</v>
      </c>
      <c r="D318" s="101">
        <v>-1924.0</v>
      </c>
      <c r="E318" s="102" t="s">
        <v>102</v>
      </c>
      <c r="F318" s="106">
        <f t="shared" si="35"/>
        <v>46327</v>
      </c>
      <c r="G318" s="104" t="s">
        <v>95</v>
      </c>
      <c r="H318" s="97" t="s">
        <v>96</v>
      </c>
      <c r="I318" s="105"/>
    </row>
    <row r="319" ht="22.5" hidden="1" customHeight="1">
      <c r="A319" s="110" t="s">
        <v>104</v>
      </c>
      <c r="B319" s="91" t="s">
        <v>105</v>
      </c>
      <c r="C319" s="92">
        <v>46331.0</v>
      </c>
      <c r="D319" s="93">
        <v>19000.0</v>
      </c>
      <c r="E319" s="125" t="s">
        <v>102</v>
      </c>
      <c r="F319" s="106">
        <f t="shared" si="35"/>
        <v>46331</v>
      </c>
      <c r="G319" s="111" t="s">
        <v>95</v>
      </c>
      <c r="H319" s="110" t="s">
        <v>106</v>
      </c>
      <c r="I319" s="107"/>
    </row>
    <row r="320" ht="22.5" hidden="1" customHeight="1">
      <c r="A320" s="97" t="s">
        <v>92</v>
      </c>
      <c r="B320" s="99" t="s">
        <v>132</v>
      </c>
      <c r="C320" s="100">
        <v>46336.0</v>
      </c>
      <c r="D320" s="101">
        <v>-563.17</v>
      </c>
      <c r="E320" s="102" t="s">
        <v>102</v>
      </c>
      <c r="F320" s="106">
        <f t="shared" si="35"/>
        <v>46336</v>
      </c>
      <c r="G320" s="104" t="s">
        <v>95</v>
      </c>
      <c r="H320" s="97" t="s">
        <v>96</v>
      </c>
      <c r="I320" s="105"/>
    </row>
    <row r="321" ht="22.5" hidden="1" customHeight="1">
      <c r="A321" s="97" t="s">
        <v>92</v>
      </c>
      <c r="B321" s="99" t="s">
        <v>155</v>
      </c>
      <c r="C321" s="100">
        <v>46336.0</v>
      </c>
      <c r="D321" s="101">
        <v>-600.0</v>
      </c>
      <c r="E321" s="102" t="s">
        <v>102</v>
      </c>
      <c r="F321" s="106">
        <f t="shared" si="35"/>
        <v>46336</v>
      </c>
      <c r="G321" s="104" t="s">
        <v>95</v>
      </c>
      <c r="H321" s="97" t="s">
        <v>96</v>
      </c>
      <c r="I321" s="105"/>
    </row>
    <row r="322" ht="22.5" hidden="1" customHeight="1">
      <c r="A322" s="97" t="s">
        <v>92</v>
      </c>
      <c r="B322" s="99" t="s">
        <v>101</v>
      </c>
      <c r="C322" s="100">
        <v>46336.0</v>
      </c>
      <c r="D322" s="101">
        <v>-450.0</v>
      </c>
      <c r="E322" s="94" t="s">
        <v>102</v>
      </c>
      <c r="F322" s="103">
        <v>46000.0</v>
      </c>
      <c r="G322" s="104" t="s">
        <v>95</v>
      </c>
      <c r="H322" s="97" t="s">
        <v>96</v>
      </c>
      <c r="I322" s="105"/>
    </row>
    <row r="323" ht="22.5" hidden="1" customHeight="1">
      <c r="A323" s="90" t="s">
        <v>135</v>
      </c>
      <c r="B323" s="99" t="s">
        <v>136</v>
      </c>
      <c r="C323" s="100">
        <v>46336.0</v>
      </c>
      <c r="D323" s="101">
        <v>-58.47</v>
      </c>
      <c r="E323" s="94" t="s">
        <v>102</v>
      </c>
      <c r="F323" s="106">
        <f t="shared" ref="F323:F326" si="36">C323</f>
        <v>46336</v>
      </c>
      <c r="G323" s="111" t="s">
        <v>95</v>
      </c>
      <c r="H323" s="97" t="s">
        <v>96</v>
      </c>
      <c r="I323" s="105"/>
    </row>
    <row r="324" ht="22.5" hidden="1" customHeight="1">
      <c r="A324" s="90" t="s">
        <v>135</v>
      </c>
      <c r="B324" s="91" t="s">
        <v>137</v>
      </c>
      <c r="C324" s="92">
        <v>46336.0</v>
      </c>
      <c r="D324" s="93">
        <v>-3000.0</v>
      </c>
      <c r="E324" s="94" t="s">
        <v>102</v>
      </c>
      <c r="F324" s="118">
        <f t="shared" si="36"/>
        <v>46336</v>
      </c>
      <c r="G324" s="104" t="s">
        <v>95</v>
      </c>
      <c r="H324" s="97" t="s">
        <v>96</v>
      </c>
      <c r="I324" s="98" t="s">
        <v>66</v>
      </c>
    </row>
    <row r="325" ht="22.5" hidden="1" customHeight="1">
      <c r="A325" s="90" t="s">
        <v>92</v>
      </c>
      <c r="B325" s="91" t="s">
        <v>140</v>
      </c>
      <c r="C325" s="115">
        <v>46336.0</v>
      </c>
      <c r="D325" s="101">
        <v>-89.9</v>
      </c>
      <c r="E325" s="94" t="s">
        <v>102</v>
      </c>
      <c r="F325" s="115">
        <f t="shared" si="36"/>
        <v>46336</v>
      </c>
      <c r="G325" s="111" t="s">
        <v>95</v>
      </c>
      <c r="H325" s="97" t="s">
        <v>96</v>
      </c>
      <c r="I325" s="114"/>
    </row>
    <row r="326" ht="22.5" hidden="1" customHeight="1">
      <c r="A326" s="90" t="s">
        <v>92</v>
      </c>
      <c r="B326" s="91" t="s">
        <v>156</v>
      </c>
      <c r="C326" s="92">
        <v>46336.0</v>
      </c>
      <c r="D326" s="93">
        <v>1000.0</v>
      </c>
      <c r="E326" s="125" t="s">
        <v>102</v>
      </c>
      <c r="F326" s="106">
        <f t="shared" si="36"/>
        <v>46336</v>
      </c>
      <c r="G326" s="111" t="s">
        <v>95</v>
      </c>
      <c r="H326" s="97" t="s">
        <v>106</v>
      </c>
      <c r="I326" s="107"/>
    </row>
    <row r="327" ht="22.5" hidden="1" customHeight="1">
      <c r="A327" s="90" t="s">
        <v>141</v>
      </c>
      <c r="B327" s="91" t="s">
        <v>153</v>
      </c>
      <c r="C327" s="92">
        <v>46341.0</v>
      </c>
      <c r="D327" s="93">
        <v>-145.48</v>
      </c>
      <c r="E327" s="94" t="s">
        <v>102</v>
      </c>
      <c r="F327" s="115">
        <v>46131.0</v>
      </c>
      <c r="G327" s="111" t="s">
        <v>95</v>
      </c>
      <c r="H327" s="97" t="s">
        <v>96</v>
      </c>
      <c r="I327" s="107"/>
    </row>
    <row r="328" ht="22.5" hidden="1" customHeight="1">
      <c r="A328" s="90" t="s">
        <v>141</v>
      </c>
      <c r="B328" s="91" t="s">
        <v>154</v>
      </c>
      <c r="C328" s="92">
        <v>46341.0</v>
      </c>
      <c r="D328" s="93">
        <v>-145.48</v>
      </c>
      <c r="E328" s="94" t="s">
        <v>102</v>
      </c>
      <c r="F328" s="115">
        <v>46131.0</v>
      </c>
      <c r="G328" s="111" t="s">
        <v>95</v>
      </c>
      <c r="H328" s="97" t="s">
        <v>96</v>
      </c>
      <c r="I328" s="107"/>
    </row>
    <row r="329" ht="22.5" hidden="1" customHeight="1">
      <c r="A329" s="97" t="s">
        <v>92</v>
      </c>
      <c r="B329" s="99" t="s">
        <v>19</v>
      </c>
      <c r="C329" s="100">
        <v>46357.0</v>
      </c>
      <c r="D329" s="101">
        <v>-1000.0</v>
      </c>
      <c r="E329" s="102" t="s">
        <v>102</v>
      </c>
      <c r="F329" s="106">
        <f t="shared" ref="F329:F332" si="37">C329</f>
        <v>46357</v>
      </c>
      <c r="G329" s="104" t="s">
        <v>95</v>
      </c>
      <c r="H329" s="97" t="s">
        <v>96</v>
      </c>
      <c r="I329" s="105"/>
    </row>
    <row r="330" ht="22.5" hidden="1" customHeight="1">
      <c r="A330" s="110" t="s">
        <v>104</v>
      </c>
      <c r="B330" s="112" t="s">
        <v>45</v>
      </c>
      <c r="C330" s="92">
        <v>46357.0</v>
      </c>
      <c r="D330" s="93">
        <v>3000.0</v>
      </c>
      <c r="E330" s="125" t="s">
        <v>102</v>
      </c>
      <c r="F330" s="106">
        <f t="shared" si="37"/>
        <v>46357</v>
      </c>
      <c r="G330" s="111" t="s">
        <v>95</v>
      </c>
      <c r="H330" s="110" t="s">
        <v>106</v>
      </c>
      <c r="I330" s="107"/>
    </row>
    <row r="331" ht="22.5" hidden="1" customHeight="1">
      <c r="A331" s="97" t="s">
        <v>109</v>
      </c>
      <c r="B331" s="99" t="s">
        <v>22</v>
      </c>
      <c r="C331" s="100">
        <v>46357.0</v>
      </c>
      <c r="D331" s="101">
        <v>-1000.0</v>
      </c>
      <c r="E331" s="102" t="s">
        <v>102</v>
      </c>
      <c r="F331" s="106">
        <f t="shared" si="37"/>
        <v>46357</v>
      </c>
      <c r="G331" s="104" t="s">
        <v>95</v>
      </c>
      <c r="H331" s="97" t="s">
        <v>96</v>
      </c>
      <c r="I331" s="105"/>
    </row>
    <row r="332" ht="22.5" hidden="1" customHeight="1">
      <c r="A332" s="97" t="s">
        <v>109</v>
      </c>
      <c r="B332" s="99" t="s">
        <v>110</v>
      </c>
      <c r="C332" s="100">
        <v>46357.0</v>
      </c>
      <c r="D332" s="101">
        <v>-550.0</v>
      </c>
      <c r="E332" s="102" t="s">
        <v>102</v>
      </c>
      <c r="F332" s="106">
        <f t="shared" si="37"/>
        <v>46357</v>
      </c>
      <c r="G332" s="104" t="s">
        <v>95</v>
      </c>
      <c r="H332" s="97" t="s">
        <v>96</v>
      </c>
      <c r="I332" s="105"/>
    </row>
    <row r="333" ht="22.5" hidden="1" customHeight="1">
      <c r="A333" s="90" t="s">
        <v>111</v>
      </c>
      <c r="B333" s="91" t="s">
        <v>112</v>
      </c>
      <c r="C333" s="92">
        <v>46357.0</v>
      </c>
      <c r="D333" s="93">
        <v>-379.5</v>
      </c>
      <c r="E333" s="94" t="s">
        <v>102</v>
      </c>
      <c r="F333" s="92"/>
      <c r="G333" s="111" t="s">
        <v>95</v>
      </c>
      <c r="H333" s="97" t="s">
        <v>96</v>
      </c>
      <c r="I333" s="107"/>
    </row>
    <row r="334" ht="22.5" hidden="1" customHeight="1">
      <c r="A334" s="97" t="s">
        <v>109</v>
      </c>
      <c r="B334" s="99" t="s">
        <v>15</v>
      </c>
      <c r="C334" s="100">
        <v>46357.0</v>
      </c>
      <c r="D334" s="101">
        <v>-700.0</v>
      </c>
      <c r="E334" s="102" t="s">
        <v>102</v>
      </c>
      <c r="F334" s="106">
        <f t="shared" ref="F334:F337" si="38">C334</f>
        <v>46357</v>
      </c>
      <c r="G334" s="104" t="s">
        <v>95</v>
      </c>
      <c r="H334" s="97" t="s">
        <v>96</v>
      </c>
      <c r="I334" s="105"/>
    </row>
    <row r="335" ht="22.5" hidden="1" customHeight="1">
      <c r="A335" s="97" t="s">
        <v>109</v>
      </c>
      <c r="B335" s="99" t="s">
        <v>17</v>
      </c>
      <c r="C335" s="100">
        <v>46357.0</v>
      </c>
      <c r="D335" s="101">
        <v>-1924.0</v>
      </c>
      <c r="E335" s="102" t="s">
        <v>102</v>
      </c>
      <c r="F335" s="106">
        <f t="shared" si="38"/>
        <v>46357</v>
      </c>
      <c r="G335" s="104" t="s">
        <v>95</v>
      </c>
      <c r="H335" s="97" t="s">
        <v>96</v>
      </c>
      <c r="I335" s="105"/>
    </row>
    <row r="336" ht="22.5" hidden="1" customHeight="1">
      <c r="A336" s="110" t="s">
        <v>104</v>
      </c>
      <c r="B336" s="91" t="s">
        <v>105</v>
      </c>
      <c r="C336" s="92">
        <v>46361.0</v>
      </c>
      <c r="D336" s="93">
        <v>19000.0</v>
      </c>
      <c r="E336" s="125" t="s">
        <v>102</v>
      </c>
      <c r="F336" s="106">
        <f t="shared" si="38"/>
        <v>46361</v>
      </c>
      <c r="G336" s="111" t="s">
        <v>95</v>
      </c>
      <c r="H336" s="110" t="s">
        <v>106</v>
      </c>
      <c r="I336" s="107"/>
    </row>
    <row r="337" ht="22.5" hidden="1" customHeight="1">
      <c r="A337" s="97" t="s">
        <v>92</v>
      </c>
      <c r="B337" s="99" t="s">
        <v>132</v>
      </c>
      <c r="C337" s="100">
        <v>46366.0</v>
      </c>
      <c r="D337" s="101">
        <v>-563.17</v>
      </c>
      <c r="E337" s="102" t="s">
        <v>102</v>
      </c>
      <c r="F337" s="106">
        <f t="shared" si="38"/>
        <v>46366</v>
      </c>
      <c r="G337" s="104" t="s">
        <v>95</v>
      </c>
      <c r="H337" s="97" t="s">
        <v>96</v>
      </c>
      <c r="I337" s="105"/>
    </row>
    <row r="338" ht="22.5" hidden="1" customHeight="1">
      <c r="A338" s="97" t="s">
        <v>92</v>
      </c>
      <c r="B338" s="99" t="s">
        <v>101</v>
      </c>
      <c r="C338" s="100">
        <v>46366.0</v>
      </c>
      <c r="D338" s="101">
        <v>-450.0</v>
      </c>
      <c r="E338" s="94" t="s">
        <v>102</v>
      </c>
      <c r="F338" s="103">
        <v>46000.0</v>
      </c>
      <c r="G338" s="104" t="s">
        <v>95</v>
      </c>
      <c r="H338" s="97" t="s">
        <v>96</v>
      </c>
      <c r="I338" s="105"/>
    </row>
    <row r="339" ht="22.5" hidden="1" customHeight="1">
      <c r="A339" s="90" t="s">
        <v>135</v>
      </c>
      <c r="B339" s="91" t="s">
        <v>137</v>
      </c>
      <c r="C339" s="92">
        <v>46366.0</v>
      </c>
      <c r="D339" s="93">
        <v>-3000.0</v>
      </c>
      <c r="E339" s="94" t="s">
        <v>102</v>
      </c>
      <c r="F339" s="118">
        <f t="shared" ref="F339:F343" si="39">C339</f>
        <v>46366</v>
      </c>
      <c r="G339" s="104" t="s">
        <v>95</v>
      </c>
      <c r="H339" s="97" t="s">
        <v>96</v>
      </c>
      <c r="I339" s="98" t="s">
        <v>66</v>
      </c>
    </row>
    <row r="340" ht="22.5" hidden="1" customHeight="1">
      <c r="A340" s="90" t="s">
        <v>92</v>
      </c>
      <c r="B340" s="91" t="s">
        <v>140</v>
      </c>
      <c r="C340" s="115">
        <v>46366.0</v>
      </c>
      <c r="D340" s="101">
        <v>-89.9</v>
      </c>
      <c r="E340" s="94" t="s">
        <v>102</v>
      </c>
      <c r="F340" s="115">
        <f t="shared" si="39"/>
        <v>46366</v>
      </c>
      <c r="G340" s="111" t="s">
        <v>95</v>
      </c>
      <c r="H340" s="97" t="s">
        <v>96</v>
      </c>
      <c r="I340" s="114"/>
    </row>
    <row r="341" ht="22.5" hidden="1" customHeight="1">
      <c r="A341" s="90" t="s">
        <v>92</v>
      </c>
      <c r="B341" s="91" t="s">
        <v>156</v>
      </c>
      <c r="C341" s="92">
        <v>46366.0</v>
      </c>
      <c r="D341" s="93">
        <v>1000.0</v>
      </c>
      <c r="E341" s="125" t="s">
        <v>102</v>
      </c>
      <c r="F341" s="106">
        <f t="shared" si="39"/>
        <v>46366</v>
      </c>
      <c r="G341" s="111" t="s">
        <v>95</v>
      </c>
      <c r="H341" s="97" t="s">
        <v>106</v>
      </c>
      <c r="I341" s="107"/>
    </row>
    <row r="342" ht="22.5" hidden="1" customHeight="1">
      <c r="A342" s="110" t="s">
        <v>104</v>
      </c>
      <c r="B342" s="112" t="s">
        <v>45</v>
      </c>
      <c r="C342" s="92">
        <v>46388.0</v>
      </c>
      <c r="D342" s="93">
        <v>3000.0</v>
      </c>
      <c r="E342" s="125" t="s">
        <v>102</v>
      </c>
      <c r="F342" s="106">
        <f t="shared" si="39"/>
        <v>46388</v>
      </c>
      <c r="G342" s="111" t="s">
        <v>95</v>
      </c>
      <c r="H342" s="110" t="s">
        <v>106</v>
      </c>
      <c r="I342" s="107"/>
    </row>
    <row r="343" ht="22.5" hidden="1" customHeight="1">
      <c r="A343" s="97" t="s">
        <v>109</v>
      </c>
      <c r="B343" s="99" t="s">
        <v>17</v>
      </c>
      <c r="C343" s="100">
        <v>46388.0</v>
      </c>
      <c r="D343" s="101">
        <v>-1924.0</v>
      </c>
      <c r="E343" s="102" t="s">
        <v>102</v>
      </c>
      <c r="F343" s="106">
        <f t="shared" si="39"/>
        <v>46388</v>
      </c>
      <c r="G343" s="104" t="s">
        <v>95</v>
      </c>
      <c r="H343" s="97" t="s">
        <v>96</v>
      </c>
      <c r="I343" s="105"/>
    </row>
    <row r="344" ht="22.5" hidden="1" customHeight="1">
      <c r="A344" s="90" t="s">
        <v>141</v>
      </c>
      <c r="B344" s="91" t="s">
        <v>153</v>
      </c>
      <c r="C344" s="92">
        <v>46371.0</v>
      </c>
      <c r="D344" s="93">
        <v>-145.48</v>
      </c>
      <c r="E344" s="94" t="s">
        <v>102</v>
      </c>
      <c r="F344" s="115">
        <v>46131.0</v>
      </c>
      <c r="G344" s="111" t="s">
        <v>95</v>
      </c>
      <c r="H344" s="97" t="s">
        <v>96</v>
      </c>
      <c r="I344" s="107"/>
    </row>
    <row r="345" ht="22.5" hidden="1" customHeight="1">
      <c r="A345" s="90" t="s">
        <v>141</v>
      </c>
      <c r="B345" s="91" t="s">
        <v>154</v>
      </c>
      <c r="C345" s="92">
        <v>46371.0</v>
      </c>
      <c r="D345" s="93">
        <v>-145.48</v>
      </c>
      <c r="E345" s="94" t="s">
        <v>102</v>
      </c>
      <c r="F345" s="115">
        <v>46131.0</v>
      </c>
      <c r="G345" s="111" t="s">
        <v>95</v>
      </c>
      <c r="H345" s="97" t="s">
        <v>96</v>
      </c>
      <c r="I345" s="107"/>
    </row>
    <row r="346" ht="22.5" hidden="1" customHeight="1">
      <c r="A346" s="90" t="s">
        <v>120</v>
      </c>
      <c r="B346" s="91" t="s">
        <v>158</v>
      </c>
      <c r="C346" s="92">
        <v>46173.0</v>
      </c>
      <c r="D346" s="93">
        <v>-1500.0</v>
      </c>
      <c r="E346" s="94" t="s">
        <v>102</v>
      </c>
      <c r="F346" s="115">
        <f t="shared" ref="F346:F459" si="40">C346</f>
        <v>46173</v>
      </c>
      <c r="G346" s="111" t="s">
        <v>95</v>
      </c>
      <c r="H346" s="97" t="s">
        <v>96</v>
      </c>
      <c r="I346" s="98" t="s">
        <v>66</v>
      </c>
    </row>
    <row r="347" ht="22.5" hidden="1" customHeight="1">
      <c r="A347" s="90" t="s">
        <v>120</v>
      </c>
      <c r="B347" s="91" t="s">
        <v>158</v>
      </c>
      <c r="C347" s="92">
        <v>46203.0</v>
      </c>
      <c r="D347" s="93">
        <v>-1500.0</v>
      </c>
      <c r="E347" s="94" t="s">
        <v>102</v>
      </c>
      <c r="F347" s="115">
        <f t="shared" si="40"/>
        <v>46203</v>
      </c>
      <c r="G347" s="111" t="s">
        <v>95</v>
      </c>
      <c r="H347" s="97" t="s">
        <v>96</v>
      </c>
      <c r="I347" s="98" t="s">
        <v>66</v>
      </c>
    </row>
    <row r="348" ht="22.5" hidden="1" customHeight="1">
      <c r="A348" s="90" t="s">
        <v>120</v>
      </c>
      <c r="B348" s="91" t="s">
        <v>158</v>
      </c>
      <c r="C348" s="92">
        <v>46234.0</v>
      </c>
      <c r="D348" s="93">
        <v>-1500.0</v>
      </c>
      <c r="E348" s="94" t="s">
        <v>102</v>
      </c>
      <c r="F348" s="115">
        <f t="shared" si="40"/>
        <v>46234</v>
      </c>
      <c r="G348" s="111" t="s">
        <v>95</v>
      </c>
      <c r="H348" s="97" t="s">
        <v>96</v>
      </c>
      <c r="I348" s="98" t="s">
        <v>66</v>
      </c>
    </row>
    <row r="349" ht="22.5" hidden="1" customHeight="1">
      <c r="A349" s="90" t="s">
        <v>120</v>
      </c>
      <c r="B349" s="91" t="s">
        <v>158</v>
      </c>
      <c r="C349" s="92">
        <v>46265.0</v>
      </c>
      <c r="D349" s="93">
        <v>-1500.0</v>
      </c>
      <c r="E349" s="94" t="s">
        <v>102</v>
      </c>
      <c r="F349" s="115">
        <f t="shared" si="40"/>
        <v>46265</v>
      </c>
      <c r="G349" s="111" t="s">
        <v>95</v>
      </c>
      <c r="H349" s="97" t="s">
        <v>96</v>
      </c>
      <c r="I349" s="98" t="s">
        <v>66</v>
      </c>
    </row>
    <row r="350" ht="22.5" hidden="1" customHeight="1">
      <c r="A350" s="90" t="s">
        <v>120</v>
      </c>
      <c r="B350" s="91" t="s">
        <v>158</v>
      </c>
      <c r="C350" s="92">
        <v>46295.0</v>
      </c>
      <c r="D350" s="93">
        <v>-1500.0</v>
      </c>
      <c r="E350" s="94" t="s">
        <v>102</v>
      </c>
      <c r="F350" s="115">
        <f t="shared" si="40"/>
        <v>46295</v>
      </c>
      <c r="G350" s="111" t="s">
        <v>95</v>
      </c>
      <c r="H350" s="97" t="s">
        <v>96</v>
      </c>
      <c r="I350" s="98" t="s">
        <v>66</v>
      </c>
    </row>
    <row r="351" ht="22.5" hidden="1" customHeight="1">
      <c r="A351" s="90" t="s">
        <v>120</v>
      </c>
      <c r="B351" s="91" t="s">
        <v>158</v>
      </c>
      <c r="C351" s="92">
        <v>46326.0</v>
      </c>
      <c r="D351" s="93">
        <v>-1500.0</v>
      </c>
      <c r="E351" s="94" t="s">
        <v>102</v>
      </c>
      <c r="F351" s="115">
        <f t="shared" si="40"/>
        <v>46326</v>
      </c>
      <c r="G351" s="111" t="s">
        <v>95</v>
      </c>
      <c r="H351" s="97" t="s">
        <v>96</v>
      </c>
      <c r="I351" s="98" t="s">
        <v>66</v>
      </c>
    </row>
    <row r="352" ht="22.5" hidden="1" customHeight="1">
      <c r="A352" s="90" t="s">
        <v>120</v>
      </c>
      <c r="B352" s="91" t="s">
        <v>158</v>
      </c>
      <c r="C352" s="92">
        <v>46356.0</v>
      </c>
      <c r="D352" s="93">
        <v>-1500.0</v>
      </c>
      <c r="E352" s="94" t="s">
        <v>102</v>
      </c>
      <c r="F352" s="115">
        <f t="shared" si="40"/>
        <v>46356</v>
      </c>
      <c r="G352" s="111" t="s">
        <v>95</v>
      </c>
      <c r="H352" s="97" t="s">
        <v>96</v>
      </c>
      <c r="I352" s="98" t="s">
        <v>66</v>
      </c>
    </row>
    <row r="353" ht="22.5" hidden="1" customHeight="1">
      <c r="A353" s="97" t="s">
        <v>120</v>
      </c>
      <c r="B353" s="99" t="s">
        <v>159</v>
      </c>
      <c r="C353" s="100">
        <v>46143.0</v>
      </c>
      <c r="D353" s="101">
        <v>-500.0</v>
      </c>
      <c r="E353" s="94" t="s">
        <v>102</v>
      </c>
      <c r="F353" s="106">
        <f t="shared" si="40"/>
        <v>46143</v>
      </c>
      <c r="G353" s="111" t="s">
        <v>95</v>
      </c>
      <c r="H353" s="97" t="s">
        <v>96</v>
      </c>
      <c r="I353" s="98" t="s">
        <v>66</v>
      </c>
    </row>
    <row r="354" ht="22.5" hidden="1" customHeight="1">
      <c r="A354" s="97" t="s">
        <v>120</v>
      </c>
      <c r="B354" s="99" t="s">
        <v>159</v>
      </c>
      <c r="C354" s="100">
        <v>46174.0</v>
      </c>
      <c r="D354" s="101">
        <v>-500.0</v>
      </c>
      <c r="E354" s="94" t="s">
        <v>102</v>
      </c>
      <c r="F354" s="106">
        <f t="shared" si="40"/>
        <v>46174</v>
      </c>
      <c r="G354" s="111" t="s">
        <v>95</v>
      </c>
      <c r="H354" s="97" t="s">
        <v>96</v>
      </c>
      <c r="I354" s="98" t="s">
        <v>66</v>
      </c>
    </row>
    <row r="355" ht="22.5" hidden="1" customHeight="1">
      <c r="A355" s="97" t="s">
        <v>120</v>
      </c>
      <c r="B355" s="99" t="s">
        <v>159</v>
      </c>
      <c r="C355" s="100">
        <v>46204.0</v>
      </c>
      <c r="D355" s="101">
        <v>-500.0</v>
      </c>
      <c r="E355" s="94" t="s">
        <v>102</v>
      </c>
      <c r="F355" s="106">
        <f t="shared" si="40"/>
        <v>46204</v>
      </c>
      <c r="G355" s="111" t="s">
        <v>95</v>
      </c>
      <c r="H355" s="97" t="s">
        <v>96</v>
      </c>
      <c r="I355" s="98" t="s">
        <v>66</v>
      </c>
    </row>
    <row r="356" ht="22.5" hidden="1" customHeight="1">
      <c r="A356" s="132" t="s">
        <v>120</v>
      </c>
      <c r="B356" s="112" t="s">
        <v>159</v>
      </c>
      <c r="C356" s="92">
        <v>46235.0</v>
      </c>
      <c r="D356" s="101">
        <v>-500.0</v>
      </c>
      <c r="E356" s="94" t="s">
        <v>102</v>
      </c>
      <c r="F356" s="106">
        <f t="shared" si="40"/>
        <v>46235</v>
      </c>
      <c r="G356" s="111" t="s">
        <v>95</v>
      </c>
      <c r="H356" s="97" t="s">
        <v>96</v>
      </c>
      <c r="I356" s="98" t="s">
        <v>66</v>
      </c>
    </row>
    <row r="357" ht="22.5" hidden="1" customHeight="1">
      <c r="A357" s="132" t="s">
        <v>120</v>
      </c>
      <c r="B357" s="112" t="s">
        <v>159</v>
      </c>
      <c r="C357" s="92">
        <v>46266.0</v>
      </c>
      <c r="D357" s="101">
        <v>-500.0</v>
      </c>
      <c r="E357" s="94" t="s">
        <v>102</v>
      </c>
      <c r="F357" s="106">
        <f t="shared" si="40"/>
        <v>46266</v>
      </c>
      <c r="G357" s="111" t="s">
        <v>95</v>
      </c>
      <c r="H357" s="97" t="s">
        <v>96</v>
      </c>
      <c r="I357" s="98" t="s">
        <v>66</v>
      </c>
    </row>
    <row r="358" ht="22.5" hidden="1" customHeight="1">
      <c r="A358" s="132" t="s">
        <v>120</v>
      </c>
      <c r="B358" s="112" t="s">
        <v>159</v>
      </c>
      <c r="C358" s="92">
        <v>46296.0</v>
      </c>
      <c r="D358" s="101">
        <v>-500.0</v>
      </c>
      <c r="E358" s="94" t="s">
        <v>102</v>
      </c>
      <c r="F358" s="106">
        <f t="shared" si="40"/>
        <v>46296</v>
      </c>
      <c r="G358" s="111" t="s">
        <v>95</v>
      </c>
      <c r="H358" s="97" t="s">
        <v>96</v>
      </c>
      <c r="I358" s="98" t="s">
        <v>66</v>
      </c>
    </row>
    <row r="359" ht="22.5" hidden="1" customHeight="1">
      <c r="A359" s="132" t="s">
        <v>120</v>
      </c>
      <c r="B359" s="112" t="s">
        <v>159</v>
      </c>
      <c r="C359" s="92">
        <v>46327.0</v>
      </c>
      <c r="D359" s="101">
        <v>-500.0</v>
      </c>
      <c r="E359" s="94" t="s">
        <v>102</v>
      </c>
      <c r="F359" s="106">
        <f t="shared" si="40"/>
        <v>46327</v>
      </c>
      <c r="G359" s="111" t="s">
        <v>95</v>
      </c>
      <c r="H359" s="97" t="s">
        <v>96</v>
      </c>
      <c r="I359" s="98" t="s">
        <v>66</v>
      </c>
    </row>
    <row r="360" ht="22.5" hidden="1" customHeight="1">
      <c r="A360" s="133" t="s">
        <v>130</v>
      </c>
      <c r="B360" s="91" t="s">
        <v>160</v>
      </c>
      <c r="C360" s="92">
        <v>46143.0</v>
      </c>
      <c r="D360" s="101">
        <v>-800.0</v>
      </c>
      <c r="E360" s="94" t="s">
        <v>102</v>
      </c>
      <c r="F360" s="106">
        <f t="shared" si="40"/>
        <v>46143</v>
      </c>
      <c r="G360" s="111" t="s">
        <v>95</v>
      </c>
      <c r="H360" s="97" t="s">
        <v>96</v>
      </c>
      <c r="I360" s="98" t="s">
        <v>66</v>
      </c>
    </row>
    <row r="361" ht="22.5" hidden="1" customHeight="1">
      <c r="A361" s="133" t="s">
        <v>130</v>
      </c>
      <c r="B361" s="91" t="s">
        <v>160</v>
      </c>
      <c r="C361" s="92">
        <v>46174.0</v>
      </c>
      <c r="D361" s="101">
        <v>-800.0</v>
      </c>
      <c r="E361" s="94" t="s">
        <v>102</v>
      </c>
      <c r="F361" s="106">
        <f t="shared" si="40"/>
        <v>46174</v>
      </c>
      <c r="G361" s="111" t="s">
        <v>95</v>
      </c>
      <c r="H361" s="97" t="s">
        <v>96</v>
      </c>
      <c r="I361" s="98" t="s">
        <v>66</v>
      </c>
    </row>
    <row r="362" ht="22.5" hidden="1" customHeight="1">
      <c r="A362" s="133" t="s">
        <v>130</v>
      </c>
      <c r="B362" s="91" t="s">
        <v>160</v>
      </c>
      <c r="C362" s="92">
        <v>46204.0</v>
      </c>
      <c r="D362" s="101">
        <v>-800.0</v>
      </c>
      <c r="E362" s="94" t="s">
        <v>102</v>
      </c>
      <c r="F362" s="106">
        <f t="shared" si="40"/>
        <v>46204</v>
      </c>
      <c r="G362" s="111" t="s">
        <v>95</v>
      </c>
      <c r="H362" s="97" t="s">
        <v>96</v>
      </c>
      <c r="I362" s="98" t="s">
        <v>66</v>
      </c>
    </row>
    <row r="363" ht="22.5" hidden="1" customHeight="1">
      <c r="A363" s="133" t="s">
        <v>130</v>
      </c>
      <c r="B363" s="91" t="s">
        <v>160</v>
      </c>
      <c r="C363" s="92">
        <v>46235.0</v>
      </c>
      <c r="D363" s="101">
        <v>-800.0</v>
      </c>
      <c r="E363" s="94" t="s">
        <v>102</v>
      </c>
      <c r="F363" s="106">
        <f t="shared" si="40"/>
        <v>46235</v>
      </c>
      <c r="G363" s="111" t="s">
        <v>95</v>
      </c>
      <c r="H363" s="97" t="s">
        <v>96</v>
      </c>
      <c r="I363" s="98" t="s">
        <v>66</v>
      </c>
    </row>
    <row r="364" ht="22.5" hidden="1" customHeight="1">
      <c r="A364" s="133" t="s">
        <v>130</v>
      </c>
      <c r="B364" s="91" t="s">
        <v>160</v>
      </c>
      <c r="C364" s="92">
        <v>46266.0</v>
      </c>
      <c r="D364" s="101">
        <v>-800.0</v>
      </c>
      <c r="E364" s="94" t="s">
        <v>102</v>
      </c>
      <c r="F364" s="106">
        <f t="shared" si="40"/>
        <v>46266</v>
      </c>
      <c r="G364" s="111" t="s">
        <v>95</v>
      </c>
      <c r="H364" s="97" t="s">
        <v>96</v>
      </c>
      <c r="I364" s="98" t="s">
        <v>66</v>
      </c>
    </row>
    <row r="365" ht="22.5" hidden="1" customHeight="1">
      <c r="A365" s="133" t="s">
        <v>130</v>
      </c>
      <c r="B365" s="91" t="s">
        <v>160</v>
      </c>
      <c r="C365" s="92">
        <v>46296.0</v>
      </c>
      <c r="D365" s="101">
        <v>-800.0</v>
      </c>
      <c r="E365" s="94" t="s">
        <v>102</v>
      </c>
      <c r="F365" s="106">
        <f t="shared" si="40"/>
        <v>46296</v>
      </c>
      <c r="G365" s="111" t="s">
        <v>95</v>
      </c>
      <c r="H365" s="97" t="s">
        <v>96</v>
      </c>
      <c r="I365" s="98" t="s">
        <v>66</v>
      </c>
    </row>
    <row r="366" ht="22.5" hidden="1" customHeight="1">
      <c r="A366" s="133" t="s">
        <v>130</v>
      </c>
      <c r="B366" s="91" t="s">
        <v>160</v>
      </c>
      <c r="C366" s="92">
        <v>46327.0</v>
      </c>
      <c r="D366" s="101">
        <v>-800.0</v>
      </c>
      <c r="E366" s="94" t="s">
        <v>102</v>
      </c>
      <c r="F366" s="106">
        <f t="shared" si="40"/>
        <v>46327</v>
      </c>
      <c r="G366" s="111" t="s">
        <v>95</v>
      </c>
      <c r="H366" s="97" t="s">
        <v>96</v>
      </c>
      <c r="I366" s="98" t="s">
        <v>66</v>
      </c>
    </row>
    <row r="367" ht="22.5" hidden="1" customHeight="1">
      <c r="A367" s="133" t="s">
        <v>130</v>
      </c>
      <c r="B367" s="91" t="s">
        <v>160</v>
      </c>
      <c r="C367" s="92">
        <v>46357.0</v>
      </c>
      <c r="D367" s="101">
        <v>-800.0</v>
      </c>
      <c r="E367" s="94" t="s">
        <v>102</v>
      </c>
      <c r="F367" s="106">
        <f t="shared" si="40"/>
        <v>46357</v>
      </c>
      <c r="G367" s="111" t="s">
        <v>95</v>
      </c>
      <c r="H367" s="97" t="s">
        <v>96</v>
      </c>
      <c r="I367" s="98" t="s">
        <v>66</v>
      </c>
    </row>
    <row r="368" ht="22.5" hidden="1" customHeight="1">
      <c r="A368" s="133" t="s">
        <v>141</v>
      </c>
      <c r="B368" s="91" t="s">
        <v>152</v>
      </c>
      <c r="C368" s="92">
        <v>46150.0</v>
      </c>
      <c r="D368" s="101">
        <v>-250.0</v>
      </c>
      <c r="E368" s="94" t="s">
        <v>102</v>
      </c>
      <c r="F368" s="106">
        <f t="shared" si="40"/>
        <v>46150</v>
      </c>
      <c r="G368" s="111" t="s">
        <v>95</v>
      </c>
      <c r="H368" s="97" t="s">
        <v>96</v>
      </c>
      <c r="I368" s="98" t="s">
        <v>66</v>
      </c>
    </row>
    <row r="369" ht="22.5" hidden="1" customHeight="1">
      <c r="A369" s="133" t="s">
        <v>141</v>
      </c>
      <c r="B369" s="91" t="s">
        <v>152</v>
      </c>
      <c r="C369" s="92">
        <v>46181.0</v>
      </c>
      <c r="D369" s="101">
        <v>-250.0</v>
      </c>
      <c r="E369" s="94" t="s">
        <v>102</v>
      </c>
      <c r="F369" s="106">
        <f t="shared" si="40"/>
        <v>46181</v>
      </c>
      <c r="G369" s="111" t="s">
        <v>95</v>
      </c>
      <c r="H369" s="97" t="s">
        <v>96</v>
      </c>
      <c r="I369" s="98" t="s">
        <v>66</v>
      </c>
    </row>
    <row r="370" ht="22.5" hidden="1" customHeight="1">
      <c r="A370" s="133" t="s">
        <v>141</v>
      </c>
      <c r="B370" s="91" t="s">
        <v>152</v>
      </c>
      <c r="C370" s="92">
        <v>46211.0</v>
      </c>
      <c r="D370" s="101">
        <v>-250.0</v>
      </c>
      <c r="E370" s="94" t="s">
        <v>102</v>
      </c>
      <c r="F370" s="106">
        <f t="shared" si="40"/>
        <v>46211</v>
      </c>
      <c r="G370" s="111" t="s">
        <v>95</v>
      </c>
      <c r="H370" s="97" t="s">
        <v>96</v>
      </c>
      <c r="I370" s="98" t="s">
        <v>66</v>
      </c>
    </row>
    <row r="371" ht="22.5" hidden="1" customHeight="1">
      <c r="A371" s="133" t="s">
        <v>141</v>
      </c>
      <c r="B371" s="91" t="s">
        <v>152</v>
      </c>
      <c r="C371" s="92">
        <v>46242.0</v>
      </c>
      <c r="D371" s="101">
        <v>-250.0</v>
      </c>
      <c r="E371" s="94" t="s">
        <v>102</v>
      </c>
      <c r="F371" s="106">
        <f t="shared" si="40"/>
        <v>46242</v>
      </c>
      <c r="G371" s="111" t="s">
        <v>95</v>
      </c>
      <c r="H371" s="97" t="s">
        <v>96</v>
      </c>
      <c r="I371" s="98" t="s">
        <v>66</v>
      </c>
    </row>
    <row r="372" ht="22.5" hidden="1" customHeight="1">
      <c r="A372" s="133" t="s">
        <v>141</v>
      </c>
      <c r="B372" s="91" t="s">
        <v>161</v>
      </c>
      <c r="C372" s="92">
        <v>46143.0</v>
      </c>
      <c r="D372" s="101">
        <v>-500.0</v>
      </c>
      <c r="E372" s="94" t="s">
        <v>102</v>
      </c>
      <c r="F372" s="106">
        <f t="shared" si="40"/>
        <v>46143</v>
      </c>
      <c r="G372" s="111" t="s">
        <v>95</v>
      </c>
      <c r="H372" s="97" t="s">
        <v>96</v>
      </c>
      <c r="I372" s="98" t="s">
        <v>66</v>
      </c>
    </row>
    <row r="373" ht="22.5" hidden="1" customHeight="1">
      <c r="A373" s="133" t="s">
        <v>141</v>
      </c>
      <c r="B373" s="91" t="s">
        <v>161</v>
      </c>
      <c r="C373" s="92">
        <v>46174.0</v>
      </c>
      <c r="D373" s="101">
        <v>-500.0</v>
      </c>
      <c r="E373" s="94" t="s">
        <v>102</v>
      </c>
      <c r="F373" s="106">
        <f t="shared" si="40"/>
        <v>46174</v>
      </c>
      <c r="G373" s="111" t="s">
        <v>95</v>
      </c>
      <c r="H373" s="97" t="s">
        <v>96</v>
      </c>
      <c r="I373" s="98" t="s">
        <v>66</v>
      </c>
    </row>
    <row r="374" ht="22.5" hidden="1" customHeight="1">
      <c r="A374" s="133" t="s">
        <v>141</v>
      </c>
      <c r="B374" s="91" t="s">
        <v>161</v>
      </c>
      <c r="C374" s="92">
        <v>46204.0</v>
      </c>
      <c r="D374" s="101">
        <v>-500.0</v>
      </c>
      <c r="E374" s="94" t="s">
        <v>102</v>
      </c>
      <c r="F374" s="106">
        <f t="shared" si="40"/>
        <v>46204</v>
      </c>
      <c r="G374" s="111" t="s">
        <v>95</v>
      </c>
      <c r="H374" s="97" t="s">
        <v>96</v>
      </c>
      <c r="I374" s="98" t="s">
        <v>66</v>
      </c>
    </row>
    <row r="375" ht="22.5" hidden="1" customHeight="1">
      <c r="A375" s="133" t="s">
        <v>141</v>
      </c>
      <c r="B375" s="91" t="s">
        <v>161</v>
      </c>
      <c r="C375" s="92">
        <v>46235.0</v>
      </c>
      <c r="D375" s="101">
        <v>-500.0</v>
      </c>
      <c r="E375" s="94" t="s">
        <v>102</v>
      </c>
      <c r="F375" s="106">
        <f t="shared" si="40"/>
        <v>46235</v>
      </c>
      <c r="G375" s="111" t="s">
        <v>95</v>
      </c>
      <c r="H375" s="97" t="s">
        <v>96</v>
      </c>
      <c r="I375" s="98" t="s">
        <v>66</v>
      </c>
    </row>
    <row r="376" ht="22.5" hidden="1" customHeight="1">
      <c r="A376" s="133" t="s">
        <v>141</v>
      </c>
      <c r="B376" s="91" t="s">
        <v>161</v>
      </c>
      <c r="C376" s="92">
        <v>46266.0</v>
      </c>
      <c r="D376" s="101">
        <v>-500.0</v>
      </c>
      <c r="E376" s="94" t="s">
        <v>102</v>
      </c>
      <c r="F376" s="106">
        <f t="shared" si="40"/>
        <v>46266</v>
      </c>
      <c r="G376" s="111" t="s">
        <v>95</v>
      </c>
      <c r="H376" s="97" t="s">
        <v>96</v>
      </c>
      <c r="I376" s="98" t="s">
        <v>66</v>
      </c>
    </row>
    <row r="377" ht="22.5" hidden="1" customHeight="1">
      <c r="A377" s="133" t="s">
        <v>141</v>
      </c>
      <c r="B377" s="91" t="s">
        <v>161</v>
      </c>
      <c r="C377" s="92">
        <v>46296.0</v>
      </c>
      <c r="D377" s="101">
        <v>-500.0</v>
      </c>
      <c r="E377" s="94" t="s">
        <v>102</v>
      </c>
      <c r="F377" s="106">
        <f t="shared" si="40"/>
        <v>46296</v>
      </c>
      <c r="G377" s="111" t="s">
        <v>95</v>
      </c>
      <c r="H377" s="97" t="s">
        <v>96</v>
      </c>
      <c r="I377" s="98" t="s">
        <v>66</v>
      </c>
    </row>
    <row r="378" ht="22.5" hidden="1" customHeight="1">
      <c r="A378" s="133" t="s">
        <v>141</v>
      </c>
      <c r="B378" s="91" t="s">
        <v>161</v>
      </c>
      <c r="C378" s="92">
        <v>46327.0</v>
      </c>
      <c r="D378" s="101">
        <v>-500.0</v>
      </c>
      <c r="E378" s="94" t="s">
        <v>102</v>
      </c>
      <c r="F378" s="106">
        <f t="shared" si="40"/>
        <v>46327</v>
      </c>
      <c r="G378" s="111" t="s">
        <v>95</v>
      </c>
      <c r="H378" s="97" t="s">
        <v>96</v>
      </c>
      <c r="I378" s="98" t="s">
        <v>66</v>
      </c>
    </row>
    <row r="379" ht="22.5" hidden="1" customHeight="1">
      <c r="A379" s="133" t="s">
        <v>141</v>
      </c>
      <c r="B379" s="91" t="s">
        <v>161</v>
      </c>
      <c r="C379" s="92">
        <v>46357.0</v>
      </c>
      <c r="D379" s="101">
        <v>-500.0</v>
      </c>
      <c r="E379" s="94" t="s">
        <v>102</v>
      </c>
      <c r="F379" s="106">
        <f t="shared" si="40"/>
        <v>46357</v>
      </c>
      <c r="G379" s="111" t="s">
        <v>95</v>
      </c>
      <c r="H379" s="97" t="s">
        <v>96</v>
      </c>
      <c r="I379" s="98" t="s">
        <v>66</v>
      </c>
    </row>
    <row r="380" ht="22.5" hidden="1" customHeight="1">
      <c r="A380" s="134"/>
      <c r="B380" s="135"/>
      <c r="C380" s="136"/>
      <c r="D380" s="137"/>
      <c r="E380" s="138"/>
      <c r="F380" s="139" t="str">
        <f t="shared" si="40"/>
        <v/>
      </c>
      <c r="G380" s="140"/>
      <c r="H380" s="141"/>
      <c r="I380" s="142"/>
    </row>
    <row r="381" ht="22.5" hidden="1" customHeight="1">
      <c r="A381" s="134"/>
      <c r="B381" s="135"/>
      <c r="C381" s="136"/>
      <c r="D381" s="137"/>
      <c r="E381" s="138"/>
      <c r="F381" s="139" t="str">
        <f t="shared" si="40"/>
        <v/>
      </c>
      <c r="G381" s="140"/>
      <c r="H381" s="141"/>
      <c r="I381" s="142"/>
    </row>
    <row r="382" ht="22.5" hidden="1" customHeight="1">
      <c r="A382" s="134"/>
      <c r="B382" s="135"/>
      <c r="C382" s="136"/>
      <c r="D382" s="137"/>
      <c r="E382" s="138"/>
      <c r="F382" s="139" t="str">
        <f t="shared" si="40"/>
        <v/>
      </c>
      <c r="G382" s="140"/>
      <c r="H382" s="141"/>
      <c r="I382" s="142"/>
    </row>
    <row r="383" ht="22.5" hidden="1" customHeight="1">
      <c r="A383" s="134"/>
      <c r="B383" s="135"/>
      <c r="C383" s="136"/>
      <c r="D383" s="137"/>
      <c r="E383" s="138"/>
      <c r="F383" s="139" t="str">
        <f t="shared" si="40"/>
        <v/>
      </c>
      <c r="G383" s="140"/>
      <c r="H383" s="141"/>
      <c r="I383" s="142"/>
    </row>
    <row r="384" ht="22.5" hidden="1" customHeight="1">
      <c r="A384" s="134"/>
      <c r="B384" s="135"/>
      <c r="C384" s="136"/>
      <c r="D384" s="137"/>
      <c r="E384" s="138"/>
      <c r="F384" s="139" t="str">
        <f t="shared" si="40"/>
        <v/>
      </c>
      <c r="G384" s="140"/>
      <c r="H384" s="141"/>
      <c r="I384" s="142"/>
    </row>
    <row r="385" ht="22.5" hidden="1" customHeight="1">
      <c r="A385" s="134"/>
      <c r="B385" s="135"/>
      <c r="C385" s="136"/>
      <c r="D385" s="137"/>
      <c r="E385" s="138"/>
      <c r="F385" s="139" t="str">
        <f t="shared" si="40"/>
        <v/>
      </c>
      <c r="G385" s="140"/>
      <c r="H385" s="141"/>
      <c r="I385" s="142"/>
    </row>
    <row r="386" ht="22.5" hidden="1" customHeight="1">
      <c r="A386" s="134"/>
      <c r="B386" s="135"/>
      <c r="C386" s="136"/>
      <c r="D386" s="137"/>
      <c r="E386" s="138"/>
      <c r="F386" s="139" t="str">
        <f t="shared" si="40"/>
        <v/>
      </c>
      <c r="G386" s="140"/>
      <c r="H386" s="141"/>
      <c r="I386" s="142"/>
    </row>
    <row r="387" ht="22.5" hidden="1" customHeight="1">
      <c r="A387" s="134"/>
      <c r="B387" s="135"/>
      <c r="C387" s="136"/>
      <c r="D387" s="137"/>
      <c r="E387" s="138"/>
      <c r="F387" s="139" t="str">
        <f t="shared" si="40"/>
        <v/>
      </c>
      <c r="G387" s="140"/>
      <c r="H387" s="141"/>
      <c r="I387" s="142"/>
    </row>
    <row r="388" ht="22.5" hidden="1" customHeight="1">
      <c r="A388" s="134"/>
      <c r="B388" s="135"/>
      <c r="C388" s="136"/>
      <c r="D388" s="137"/>
      <c r="E388" s="138"/>
      <c r="F388" s="139" t="str">
        <f t="shared" si="40"/>
        <v/>
      </c>
      <c r="G388" s="140"/>
      <c r="H388" s="141"/>
      <c r="I388" s="142"/>
    </row>
    <row r="389" ht="22.5" hidden="1" customHeight="1">
      <c r="A389" s="134"/>
      <c r="B389" s="135"/>
      <c r="C389" s="136"/>
      <c r="D389" s="137"/>
      <c r="E389" s="138"/>
      <c r="F389" s="139" t="str">
        <f t="shared" si="40"/>
        <v/>
      </c>
      <c r="G389" s="140"/>
      <c r="H389" s="141"/>
      <c r="I389" s="142"/>
    </row>
    <row r="390" ht="22.5" hidden="1" customHeight="1">
      <c r="A390" s="134"/>
      <c r="B390" s="135"/>
      <c r="C390" s="136"/>
      <c r="D390" s="137"/>
      <c r="E390" s="138"/>
      <c r="F390" s="139" t="str">
        <f t="shared" si="40"/>
        <v/>
      </c>
      <c r="G390" s="140"/>
      <c r="H390" s="141"/>
      <c r="I390" s="142"/>
    </row>
    <row r="391" ht="22.5" hidden="1" customHeight="1">
      <c r="A391" s="134"/>
      <c r="B391" s="135"/>
      <c r="C391" s="136"/>
      <c r="D391" s="137"/>
      <c r="E391" s="138"/>
      <c r="F391" s="139" t="str">
        <f t="shared" si="40"/>
        <v/>
      </c>
      <c r="G391" s="140"/>
      <c r="H391" s="141"/>
      <c r="I391" s="142"/>
    </row>
    <row r="392" ht="22.5" hidden="1" customHeight="1">
      <c r="A392" s="134"/>
      <c r="B392" s="135"/>
      <c r="C392" s="136"/>
      <c r="D392" s="137"/>
      <c r="E392" s="138"/>
      <c r="F392" s="139" t="str">
        <f t="shared" si="40"/>
        <v/>
      </c>
      <c r="G392" s="140"/>
      <c r="H392" s="141"/>
      <c r="I392" s="142"/>
    </row>
    <row r="393" ht="22.5" hidden="1" customHeight="1">
      <c r="A393" s="134"/>
      <c r="B393" s="135"/>
      <c r="C393" s="136"/>
      <c r="D393" s="137"/>
      <c r="E393" s="138"/>
      <c r="F393" s="139" t="str">
        <f t="shared" si="40"/>
        <v/>
      </c>
      <c r="G393" s="140"/>
      <c r="H393" s="141"/>
      <c r="I393" s="142"/>
    </row>
    <row r="394" ht="22.5" hidden="1" customHeight="1">
      <c r="A394" s="134"/>
      <c r="B394" s="135"/>
      <c r="C394" s="136"/>
      <c r="D394" s="137"/>
      <c r="E394" s="138"/>
      <c r="F394" s="139" t="str">
        <f t="shared" si="40"/>
        <v/>
      </c>
      <c r="G394" s="140"/>
      <c r="H394" s="141"/>
      <c r="I394" s="142"/>
    </row>
    <row r="395" ht="22.5" hidden="1" customHeight="1">
      <c r="A395" s="134"/>
      <c r="B395" s="135"/>
      <c r="C395" s="136"/>
      <c r="D395" s="137"/>
      <c r="E395" s="138"/>
      <c r="F395" s="139" t="str">
        <f t="shared" si="40"/>
        <v/>
      </c>
      <c r="G395" s="140"/>
      <c r="H395" s="141"/>
      <c r="I395" s="142"/>
    </row>
    <row r="396" ht="22.5" hidden="1" customHeight="1">
      <c r="A396" s="134"/>
      <c r="B396" s="135"/>
      <c r="C396" s="136"/>
      <c r="D396" s="137"/>
      <c r="E396" s="138"/>
      <c r="F396" s="139" t="str">
        <f t="shared" si="40"/>
        <v/>
      </c>
      <c r="G396" s="140"/>
      <c r="H396" s="141"/>
      <c r="I396" s="142"/>
    </row>
    <row r="397" ht="22.5" hidden="1" customHeight="1">
      <c r="A397" s="134"/>
      <c r="B397" s="135"/>
      <c r="C397" s="136"/>
      <c r="D397" s="137"/>
      <c r="E397" s="138"/>
      <c r="F397" s="139" t="str">
        <f t="shared" si="40"/>
        <v/>
      </c>
      <c r="G397" s="140"/>
      <c r="H397" s="141"/>
      <c r="I397" s="142"/>
    </row>
    <row r="398" ht="22.5" hidden="1" customHeight="1">
      <c r="A398" s="134"/>
      <c r="B398" s="135"/>
      <c r="C398" s="136"/>
      <c r="D398" s="137"/>
      <c r="E398" s="138"/>
      <c r="F398" s="139" t="str">
        <f t="shared" si="40"/>
        <v/>
      </c>
      <c r="G398" s="140"/>
      <c r="H398" s="141"/>
      <c r="I398" s="142"/>
    </row>
    <row r="399" ht="22.5" hidden="1" customHeight="1">
      <c r="A399" s="134"/>
      <c r="B399" s="135"/>
      <c r="C399" s="136"/>
      <c r="D399" s="137"/>
      <c r="E399" s="138"/>
      <c r="F399" s="139" t="str">
        <f t="shared" si="40"/>
        <v/>
      </c>
      <c r="G399" s="140"/>
      <c r="H399" s="141"/>
      <c r="I399" s="142"/>
    </row>
    <row r="400" ht="22.5" hidden="1" customHeight="1">
      <c r="A400" s="134"/>
      <c r="B400" s="135"/>
      <c r="C400" s="136"/>
      <c r="D400" s="137"/>
      <c r="E400" s="138"/>
      <c r="F400" s="139" t="str">
        <f t="shared" si="40"/>
        <v/>
      </c>
      <c r="G400" s="140"/>
      <c r="H400" s="141"/>
      <c r="I400" s="142"/>
    </row>
    <row r="401" ht="22.5" hidden="1" customHeight="1">
      <c r="A401" s="134"/>
      <c r="B401" s="135"/>
      <c r="C401" s="136"/>
      <c r="D401" s="137"/>
      <c r="E401" s="138"/>
      <c r="F401" s="139" t="str">
        <f t="shared" si="40"/>
        <v/>
      </c>
      <c r="G401" s="140"/>
      <c r="H401" s="141"/>
      <c r="I401" s="142"/>
    </row>
    <row r="402" ht="22.5" hidden="1" customHeight="1">
      <c r="A402" s="134"/>
      <c r="B402" s="135"/>
      <c r="C402" s="136"/>
      <c r="D402" s="137"/>
      <c r="E402" s="138"/>
      <c r="F402" s="139" t="str">
        <f t="shared" si="40"/>
        <v/>
      </c>
      <c r="G402" s="140"/>
      <c r="H402" s="141"/>
      <c r="I402" s="142"/>
    </row>
    <row r="403" ht="22.5" hidden="1" customHeight="1">
      <c r="A403" s="134"/>
      <c r="B403" s="135"/>
      <c r="C403" s="136"/>
      <c r="D403" s="137"/>
      <c r="E403" s="138"/>
      <c r="F403" s="139" t="str">
        <f t="shared" si="40"/>
        <v/>
      </c>
      <c r="G403" s="140"/>
      <c r="H403" s="141"/>
      <c r="I403" s="142"/>
    </row>
    <row r="404" ht="22.5" hidden="1" customHeight="1">
      <c r="A404" s="134"/>
      <c r="B404" s="135"/>
      <c r="C404" s="136"/>
      <c r="D404" s="137"/>
      <c r="E404" s="138"/>
      <c r="F404" s="139" t="str">
        <f t="shared" si="40"/>
        <v/>
      </c>
      <c r="G404" s="140"/>
      <c r="H404" s="141"/>
      <c r="I404" s="142"/>
    </row>
    <row r="405" ht="22.5" hidden="1" customHeight="1">
      <c r="A405" s="134"/>
      <c r="B405" s="135"/>
      <c r="C405" s="136"/>
      <c r="D405" s="137"/>
      <c r="E405" s="138"/>
      <c r="F405" s="139" t="str">
        <f t="shared" si="40"/>
        <v/>
      </c>
      <c r="G405" s="140"/>
      <c r="H405" s="141"/>
      <c r="I405" s="142"/>
    </row>
    <row r="406" ht="22.5" hidden="1" customHeight="1">
      <c r="A406" s="134"/>
      <c r="B406" s="135"/>
      <c r="C406" s="136"/>
      <c r="D406" s="137"/>
      <c r="E406" s="138"/>
      <c r="F406" s="139" t="str">
        <f t="shared" si="40"/>
        <v/>
      </c>
      <c r="G406" s="140"/>
      <c r="H406" s="141"/>
      <c r="I406" s="142"/>
    </row>
    <row r="407" ht="22.5" hidden="1" customHeight="1">
      <c r="A407" s="134"/>
      <c r="B407" s="135"/>
      <c r="C407" s="136"/>
      <c r="D407" s="137"/>
      <c r="E407" s="138"/>
      <c r="F407" s="139" t="str">
        <f t="shared" si="40"/>
        <v/>
      </c>
      <c r="G407" s="140"/>
      <c r="H407" s="141"/>
      <c r="I407" s="142"/>
    </row>
    <row r="408" ht="22.5" hidden="1" customHeight="1">
      <c r="A408" s="134"/>
      <c r="B408" s="135"/>
      <c r="C408" s="136"/>
      <c r="D408" s="137"/>
      <c r="E408" s="138"/>
      <c r="F408" s="139" t="str">
        <f t="shared" si="40"/>
        <v/>
      </c>
      <c r="G408" s="140"/>
      <c r="H408" s="141"/>
      <c r="I408" s="142"/>
    </row>
    <row r="409" ht="22.5" hidden="1" customHeight="1">
      <c r="A409" s="134"/>
      <c r="B409" s="135"/>
      <c r="C409" s="136"/>
      <c r="D409" s="137"/>
      <c r="E409" s="138"/>
      <c r="F409" s="139" t="str">
        <f t="shared" si="40"/>
        <v/>
      </c>
      <c r="G409" s="140"/>
      <c r="H409" s="141"/>
      <c r="I409" s="142"/>
    </row>
    <row r="410" ht="22.5" hidden="1" customHeight="1">
      <c r="A410" s="134"/>
      <c r="B410" s="135"/>
      <c r="C410" s="136"/>
      <c r="D410" s="137"/>
      <c r="E410" s="138"/>
      <c r="F410" s="139" t="str">
        <f t="shared" si="40"/>
        <v/>
      </c>
      <c r="G410" s="140"/>
      <c r="H410" s="141"/>
      <c r="I410" s="142"/>
    </row>
    <row r="411" ht="22.5" hidden="1" customHeight="1">
      <c r="A411" s="134"/>
      <c r="B411" s="135"/>
      <c r="C411" s="136"/>
      <c r="D411" s="137"/>
      <c r="E411" s="138"/>
      <c r="F411" s="139" t="str">
        <f t="shared" si="40"/>
        <v/>
      </c>
      <c r="G411" s="140"/>
      <c r="H411" s="141"/>
      <c r="I411" s="142"/>
    </row>
    <row r="412" ht="22.5" hidden="1" customHeight="1">
      <c r="A412" s="134"/>
      <c r="B412" s="135"/>
      <c r="C412" s="136"/>
      <c r="D412" s="137"/>
      <c r="E412" s="138"/>
      <c r="F412" s="139" t="str">
        <f t="shared" si="40"/>
        <v/>
      </c>
      <c r="G412" s="140"/>
      <c r="H412" s="141"/>
      <c r="I412" s="142"/>
    </row>
    <row r="413" ht="22.5" hidden="1" customHeight="1">
      <c r="A413" s="134"/>
      <c r="B413" s="135"/>
      <c r="C413" s="136"/>
      <c r="D413" s="137"/>
      <c r="E413" s="138"/>
      <c r="F413" s="139" t="str">
        <f t="shared" si="40"/>
        <v/>
      </c>
      <c r="G413" s="140"/>
      <c r="H413" s="141"/>
      <c r="I413" s="142"/>
    </row>
    <row r="414" ht="22.5" hidden="1" customHeight="1">
      <c r="A414" s="134"/>
      <c r="B414" s="135"/>
      <c r="C414" s="136"/>
      <c r="D414" s="137"/>
      <c r="E414" s="138"/>
      <c r="F414" s="139" t="str">
        <f t="shared" si="40"/>
        <v/>
      </c>
      <c r="G414" s="140"/>
      <c r="H414" s="141"/>
      <c r="I414" s="142"/>
    </row>
    <row r="415" ht="22.5" hidden="1" customHeight="1">
      <c r="A415" s="134"/>
      <c r="B415" s="135"/>
      <c r="C415" s="136"/>
      <c r="D415" s="137"/>
      <c r="E415" s="138"/>
      <c r="F415" s="139" t="str">
        <f t="shared" si="40"/>
        <v/>
      </c>
      <c r="G415" s="140"/>
      <c r="H415" s="141"/>
      <c r="I415" s="142"/>
    </row>
    <row r="416" ht="22.5" hidden="1" customHeight="1">
      <c r="A416" s="134"/>
      <c r="B416" s="135"/>
      <c r="C416" s="136"/>
      <c r="D416" s="137"/>
      <c r="E416" s="138"/>
      <c r="F416" s="139" t="str">
        <f t="shared" si="40"/>
        <v/>
      </c>
      <c r="G416" s="140"/>
      <c r="H416" s="141"/>
      <c r="I416" s="142"/>
    </row>
    <row r="417" ht="22.5" hidden="1" customHeight="1">
      <c r="A417" s="134"/>
      <c r="B417" s="135"/>
      <c r="C417" s="136"/>
      <c r="D417" s="137"/>
      <c r="E417" s="138"/>
      <c r="F417" s="139" t="str">
        <f t="shared" si="40"/>
        <v/>
      </c>
      <c r="G417" s="140"/>
      <c r="H417" s="141"/>
      <c r="I417" s="142"/>
    </row>
    <row r="418" ht="22.5" hidden="1" customHeight="1">
      <c r="A418" s="134"/>
      <c r="B418" s="135"/>
      <c r="C418" s="136"/>
      <c r="D418" s="137"/>
      <c r="E418" s="138"/>
      <c r="F418" s="139" t="str">
        <f t="shared" si="40"/>
        <v/>
      </c>
      <c r="G418" s="140"/>
      <c r="H418" s="141"/>
      <c r="I418" s="142"/>
    </row>
    <row r="419" ht="22.5" hidden="1" customHeight="1">
      <c r="A419" s="134"/>
      <c r="B419" s="135"/>
      <c r="C419" s="136"/>
      <c r="D419" s="137"/>
      <c r="E419" s="138"/>
      <c r="F419" s="139" t="str">
        <f t="shared" si="40"/>
        <v/>
      </c>
      <c r="G419" s="140"/>
      <c r="H419" s="141"/>
      <c r="I419" s="142"/>
    </row>
    <row r="420" ht="22.5" hidden="1" customHeight="1">
      <c r="A420" s="134"/>
      <c r="B420" s="135"/>
      <c r="C420" s="136"/>
      <c r="D420" s="137"/>
      <c r="E420" s="138"/>
      <c r="F420" s="139" t="str">
        <f t="shared" si="40"/>
        <v/>
      </c>
      <c r="G420" s="140"/>
      <c r="H420" s="141"/>
      <c r="I420" s="142"/>
    </row>
    <row r="421" ht="22.5" hidden="1" customHeight="1">
      <c r="A421" s="134"/>
      <c r="B421" s="135"/>
      <c r="C421" s="136"/>
      <c r="D421" s="137"/>
      <c r="E421" s="138"/>
      <c r="F421" s="139" t="str">
        <f t="shared" si="40"/>
        <v/>
      </c>
      <c r="G421" s="140"/>
      <c r="H421" s="141"/>
      <c r="I421" s="142"/>
    </row>
    <row r="422" ht="22.5" hidden="1" customHeight="1">
      <c r="A422" s="134"/>
      <c r="B422" s="135"/>
      <c r="C422" s="136"/>
      <c r="D422" s="137"/>
      <c r="E422" s="138"/>
      <c r="F422" s="139" t="str">
        <f t="shared" si="40"/>
        <v/>
      </c>
      <c r="G422" s="140"/>
      <c r="H422" s="141"/>
      <c r="I422" s="142"/>
    </row>
    <row r="423" ht="22.5" hidden="1" customHeight="1">
      <c r="A423" s="134"/>
      <c r="B423" s="135"/>
      <c r="C423" s="136"/>
      <c r="D423" s="137"/>
      <c r="E423" s="138"/>
      <c r="F423" s="139" t="str">
        <f t="shared" si="40"/>
        <v/>
      </c>
      <c r="G423" s="140"/>
      <c r="H423" s="141"/>
      <c r="I423" s="142"/>
    </row>
    <row r="424" ht="22.5" hidden="1" customHeight="1">
      <c r="A424" s="134"/>
      <c r="B424" s="135"/>
      <c r="C424" s="136"/>
      <c r="D424" s="137"/>
      <c r="E424" s="138"/>
      <c r="F424" s="139" t="str">
        <f t="shared" si="40"/>
        <v/>
      </c>
      <c r="G424" s="140"/>
      <c r="H424" s="141"/>
      <c r="I424" s="142"/>
    </row>
    <row r="425" ht="22.5" hidden="1" customHeight="1">
      <c r="A425" s="134"/>
      <c r="B425" s="135"/>
      <c r="C425" s="136"/>
      <c r="D425" s="137"/>
      <c r="E425" s="138"/>
      <c r="F425" s="139" t="str">
        <f t="shared" si="40"/>
        <v/>
      </c>
      <c r="G425" s="140"/>
      <c r="H425" s="141"/>
      <c r="I425" s="142"/>
    </row>
    <row r="426" ht="22.5" hidden="1" customHeight="1">
      <c r="A426" s="134"/>
      <c r="B426" s="135"/>
      <c r="C426" s="136"/>
      <c r="D426" s="137"/>
      <c r="E426" s="138"/>
      <c r="F426" s="139" t="str">
        <f t="shared" si="40"/>
        <v/>
      </c>
      <c r="G426" s="140"/>
      <c r="H426" s="141"/>
      <c r="I426" s="142"/>
    </row>
    <row r="427" ht="22.5" hidden="1" customHeight="1">
      <c r="A427" s="134"/>
      <c r="B427" s="135"/>
      <c r="C427" s="136"/>
      <c r="D427" s="137"/>
      <c r="E427" s="138"/>
      <c r="F427" s="139" t="str">
        <f t="shared" si="40"/>
        <v/>
      </c>
      <c r="G427" s="140"/>
      <c r="H427" s="141"/>
      <c r="I427" s="142"/>
    </row>
    <row r="428" ht="22.5" hidden="1" customHeight="1">
      <c r="A428" s="134"/>
      <c r="B428" s="135"/>
      <c r="C428" s="136"/>
      <c r="D428" s="137"/>
      <c r="E428" s="138"/>
      <c r="F428" s="139" t="str">
        <f t="shared" si="40"/>
        <v/>
      </c>
      <c r="G428" s="140"/>
      <c r="H428" s="141"/>
      <c r="I428" s="142"/>
    </row>
    <row r="429" ht="22.5" hidden="1" customHeight="1">
      <c r="A429" s="134"/>
      <c r="B429" s="135"/>
      <c r="C429" s="136"/>
      <c r="D429" s="137"/>
      <c r="E429" s="138"/>
      <c r="F429" s="139" t="str">
        <f t="shared" si="40"/>
        <v/>
      </c>
      <c r="G429" s="140"/>
      <c r="H429" s="141"/>
      <c r="I429" s="142"/>
    </row>
    <row r="430" ht="22.5" hidden="1" customHeight="1">
      <c r="A430" s="134"/>
      <c r="B430" s="135"/>
      <c r="C430" s="136"/>
      <c r="D430" s="137"/>
      <c r="E430" s="138"/>
      <c r="F430" s="139" t="str">
        <f t="shared" si="40"/>
        <v/>
      </c>
      <c r="G430" s="140"/>
      <c r="H430" s="141"/>
      <c r="I430" s="142"/>
    </row>
    <row r="431" ht="22.5" hidden="1" customHeight="1">
      <c r="A431" s="134"/>
      <c r="B431" s="135"/>
      <c r="C431" s="136"/>
      <c r="D431" s="137"/>
      <c r="E431" s="138"/>
      <c r="F431" s="139" t="str">
        <f t="shared" si="40"/>
        <v/>
      </c>
      <c r="G431" s="140"/>
      <c r="H431" s="141"/>
      <c r="I431" s="142"/>
    </row>
    <row r="432" ht="22.5" hidden="1" customHeight="1">
      <c r="A432" s="134"/>
      <c r="B432" s="135"/>
      <c r="C432" s="136"/>
      <c r="D432" s="137"/>
      <c r="E432" s="138"/>
      <c r="F432" s="139" t="str">
        <f t="shared" si="40"/>
        <v/>
      </c>
      <c r="G432" s="140"/>
      <c r="H432" s="141"/>
      <c r="I432" s="142"/>
    </row>
    <row r="433" ht="22.5" hidden="1" customHeight="1">
      <c r="A433" s="134"/>
      <c r="B433" s="135"/>
      <c r="C433" s="136"/>
      <c r="D433" s="137"/>
      <c r="E433" s="138"/>
      <c r="F433" s="139" t="str">
        <f t="shared" si="40"/>
        <v/>
      </c>
      <c r="G433" s="140"/>
      <c r="H433" s="141"/>
      <c r="I433" s="142"/>
    </row>
    <row r="434" ht="22.5" hidden="1" customHeight="1">
      <c r="A434" s="134"/>
      <c r="B434" s="135"/>
      <c r="C434" s="136"/>
      <c r="D434" s="137"/>
      <c r="E434" s="138"/>
      <c r="F434" s="139" t="str">
        <f t="shared" si="40"/>
        <v/>
      </c>
      <c r="G434" s="140"/>
      <c r="H434" s="141"/>
      <c r="I434" s="142"/>
    </row>
    <row r="435" ht="22.5" hidden="1" customHeight="1">
      <c r="A435" s="134"/>
      <c r="B435" s="135"/>
      <c r="C435" s="136"/>
      <c r="D435" s="137"/>
      <c r="E435" s="138"/>
      <c r="F435" s="139" t="str">
        <f t="shared" si="40"/>
        <v/>
      </c>
      <c r="G435" s="140"/>
      <c r="H435" s="141"/>
      <c r="I435" s="142"/>
    </row>
    <row r="436" ht="22.5" hidden="1" customHeight="1">
      <c r="A436" s="134"/>
      <c r="B436" s="135"/>
      <c r="C436" s="136"/>
      <c r="D436" s="137"/>
      <c r="E436" s="138"/>
      <c r="F436" s="139" t="str">
        <f t="shared" si="40"/>
        <v/>
      </c>
      <c r="G436" s="140"/>
      <c r="H436" s="141"/>
      <c r="I436" s="142"/>
    </row>
    <row r="437" ht="22.5" hidden="1" customHeight="1">
      <c r="A437" s="134"/>
      <c r="B437" s="135"/>
      <c r="C437" s="136"/>
      <c r="D437" s="137"/>
      <c r="E437" s="138"/>
      <c r="F437" s="139" t="str">
        <f t="shared" si="40"/>
        <v/>
      </c>
      <c r="G437" s="140"/>
      <c r="H437" s="141"/>
      <c r="I437" s="142"/>
    </row>
    <row r="438" ht="22.5" hidden="1" customHeight="1">
      <c r="A438" s="134"/>
      <c r="B438" s="135"/>
      <c r="C438" s="136"/>
      <c r="D438" s="137"/>
      <c r="E438" s="138"/>
      <c r="F438" s="139" t="str">
        <f t="shared" si="40"/>
        <v/>
      </c>
      <c r="G438" s="140"/>
      <c r="H438" s="141"/>
      <c r="I438" s="142"/>
    </row>
    <row r="439" ht="22.5" hidden="1" customHeight="1">
      <c r="A439" s="134"/>
      <c r="B439" s="135"/>
      <c r="C439" s="136"/>
      <c r="D439" s="137"/>
      <c r="E439" s="138"/>
      <c r="F439" s="139" t="str">
        <f t="shared" si="40"/>
        <v/>
      </c>
      <c r="G439" s="140"/>
      <c r="H439" s="141"/>
      <c r="I439" s="142"/>
    </row>
    <row r="440" ht="22.5" hidden="1" customHeight="1">
      <c r="A440" s="134"/>
      <c r="B440" s="135"/>
      <c r="C440" s="136"/>
      <c r="D440" s="137"/>
      <c r="E440" s="138"/>
      <c r="F440" s="139" t="str">
        <f t="shared" si="40"/>
        <v/>
      </c>
      <c r="G440" s="140"/>
      <c r="H440" s="141"/>
      <c r="I440" s="142"/>
    </row>
    <row r="441" ht="22.5" hidden="1" customHeight="1">
      <c r="A441" s="134"/>
      <c r="B441" s="135"/>
      <c r="C441" s="136"/>
      <c r="D441" s="137"/>
      <c r="E441" s="138"/>
      <c r="F441" s="139" t="str">
        <f t="shared" si="40"/>
        <v/>
      </c>
      <c r="G441" s="140"/>
      <c r="H441" s="141"/>
      <c r="I441" s="142"/>
    </row>
    <row r="442" ht="22.5" hidden="1" customHeight="1">
      <c r="A442" s="134"/>
      <c r="B442" s="135"/>
      <c r="C442" s="136"/>
      <c r="D442" s="137"/>
      <c r="E442" s="138"/>
      <c r="F442" s="139" t="str">
        <f t="shared" si="40"/>
        <v/>
      </c>
      <c r="G442" s="140"/>
      <c r="H442" s="141"/>
      <c r="I442" s="142"/>
    </row>
    <row r="443" ht="22.5" hidden="1" customHeight="1">
      <c r="A443" s="134"/>
      <c r="B443" s="135"/>
      <c r="C443" s="136"/>
      <c r="D443" s="137"/>
      <c r="E443" s="138"/>
      <c r="F443" s="139" t="str">
        <f t="shared" si="40"/>
        <v/>
      </c>
      <c r="G443" s="140"/>
      <c r="H443" s="141"/>
      <c r="I443" s="142"/>
    </row>
    <row r="444" ht="22.5" hidden="1" customHeight="1">
      <c r="A444" s="134"/>
      <c r="B444" s="135"/>
      <c r="C444" s="136"/>
      <c r="D444" s="137"/>
      <c r="E444" s="138"/>
      <c r="F444" s="139" t="str">
        <f t="shared" si="40"/>
        <v/>
      </c>
      <c r="G444" s="140"/>
      <c r="H444" s="141"/>
      <c r="I444" s="142"/>
    </row>
    <row r="445" ht="22.5" hidden="1" customHeight="1">
      <c r="A445" s="134"/>
      <c r="B445" s="135"/>
      <c r="C445" s="136"/>
      <c r="D445" s="137"/>
      <c r="E445" s="138"/>
      <c r="F445" s="139" t="str">
        <f t="shared" si="40"/>
        <v/>
      </c>
      <c r="G445" s="140"/>
      <c r="H445" s="141"/>
      <c r="I445" s="142"/>
    </row>
    <row r="446" ht="22.5" hidden="1" customHeight="1">
      <c r="A446" s="134"/>
      <c r="B446" s="135"/>
      <c r="C446" s="136"/>
      <c r="D446" s="137"/>
      <c r="E446" s="138"/>
      <c r="F446" s="139" t="str">
        <f t="shared" si="40"/>
        <v/>
      </c>
      <c r="G446" s="140"/>
      <c r="H446" s="141"/>
      <c r="I446" s="142"/>
    </row>
    <row r="447" ht="22.5" hidden="1" customHeight="1">
      <c r="A447" s="134"/>
      <c r="B447" s="135"/>
      <c r="C447" s="136"/>
      <c r="D447" s="137"/>
      <c r="E447" s="138"/>
      <c r="F447" s="139" t="str">
        <f t="shared" si="40"/>
        <v/>
      </c>
      <c r="G447" s="140"/>
      <c r="H447" s="141"/>
      <c r="I447" s="142"/>
    </row>
    <row r="448" ht="22.5" hidden="1" customHeight="1">
      <c r="A448" s="134"/>
      <c r="B448" s="135"/>
      <c r="C448" s="136"/>
      <c r="D448" s="137"/>
      <c r="E448" s="138"/>
      <c r="F448" s="139" t="str">
        <f t="shared" si="40"/>
        <v/>
      </c>
      <c r="G448" s="140"/>
      <c r="H448" s="141"/>
      <c r="I448" s="142"/>
    </row>
    <row r="449" ht="22.5" hidden="1" customHeight="1">
      <c r="A449" s="134"/>
      <c r="B449" s="135"/>
      <c r="C449" s="136"/>
      <c r="D449" s="137"/>
      <c r="E449" s="138"/>
      <c r="F449" s="139" t="str">
        <f t="shared" si="40"/>
        <v/>
      </c>
      <c r="G449" s="140"/>
      <c r="H449" s="141"/>
      <c r="I449" s="142"/>
    </row>
    <row r="450" ht="22.5" hidden="1" customHeight="1">
      <c r="A450" s="134"/>
      <c r="B450" s="135"/>
      <c r="C450" s="136"/>
      <c r="D450" s="137"/>
      <c r="E450" s="138"/>
      <c r="F450" s="139" t="str">
        <f t="shared" si="40"/>
        <v/>
      </c>
      <c r="G450" s="140"/>
      <c r="H450" s="141"/>
      <c r="I450" s="142"/>
    </row>
    <row r="451" ht="22.5" hidden="1" customHeight="1">
      <c r="A451" s="134"/>
      <c r="B451" s="135"/>
      <c r="C451" s="136"/>
      <c r="D451" s="137"/>
      <c r="E451" s="138"/>
      <c r="F451" s="139" t="str">
        <f t="shared" si="40"/>
        <v/>
      </c>
      <c r="G451" s="140"/>
      <c r="H451" s="141"/>
      <c r="I451" s="142"/>
    </row>
    <row r="452" ht="22.5" hidden="1" customHeight="1">
      <c r="A452" s="134"/>
      <c r="B452" s="135"/>
      <c r="C452" s="136"/>
      <c r="D452" s="137"/>
      <c r="E452" s="138"/>
      <c r="F452" s="139" t="str">
        <f t="shared" si="40"/>
        <v/>
      </c>
      <c r="G452" s="140"/>
      <c r="H452" s="141"/>
      <c r="I452" s="142"/>
    </row>
    <row r="453" ht="22.5" hidden="1" customHeight="1">
      <c r="A453" s="134"/>
      <c r="B453" s="135"/>
      <c r="C453" s="136"/>
      <c r="D453" s="137"/>
      <c r="E453" s="138"/>
      <c r="F453" s="139" t="str">
        <f t="shared" si="40"/>
        <v/>
      </c>
      <c r="G453" s="140"/>
      <c r="H453" s="141"/>
      <c r="I453" s="142"/>
    </row>
    <row r="454" ht="22.5" hidden="1" customHeight="1">
      <c r="A454" s="134"/>
      <c r="B454" s="135"/>
      <c r="C454" s="136"/>
      <c r="D454" s="137"/>
      <c r="E454" s="138"/>
      <c r="F454" s="139" t="str">
        <f t="shared" si="40"/>
        <v/>
      </c>
      <c r="G454" s="140"/>
      <c r="H454" s="141"/>
      <c r="I454" s="142"/>
    </row>
    <row r="455" ht="22.5" hidden="1" customHeight="1">
      <c r="A455" s="134"/>
      <c r="B455" s="135"/>
      <c r="C455" s="136"/>
      <c r="D455" s="137"/>
      <c r="E455" s="138"/>
      <c r="F455" s="139" t="str">
        <f t="shared" si="40"/>
        <v/>
      </c>
      <c r="G455" s="140"/>
      <c r="H455" s="141"/>
      <c r="I455" s="142"/>
    </row>
    <row r="456" ht="22.5" hidden="1" customHeight="1">
      <c r="A456" s="134"/>
      <c r="B456" s="135"/>
      <c r="C456" s="136"/>
      <c r="D456" s="137"/>
      <c r="E456" s="138"/>
      <c r="F456" s="139" t="str">
        <f t="shared" si="40"/>
        <v/>
      </c>
      <c r="G456" s="140"/>
      <c r="H456" s="141"/>
      <c r="I456" s="142"/>
    </row>
    <row r="457" ht="22.5" hidden="1" customHeight="1">
      <c r="A457" s="134"/>
      <c r="B457" s="135"/>
      <c r="C457" s="136"/>
      <c r="D457" s="137"/>
      <c r="E457" s="138"/>
      <c r="F457" s="139" t="str">
        <f t="shared" si="40"/>
        <v/>
      </c>
      <c r="G457" s="140"/>
      <c r="H457" s="141"/>
      <c r="I457" s="142"/>
    </row>
    <row r="458" ht="22.5" hidden="1" customHeight="1">
      <c r="A458" s="134"/>
      <c r="B458" s="135"/>
      <c r="C458" s="136"/>
      <c r="D458" s="137"/>
      <c r="E458" s="138"/>
      <c r="F458" s="139" t="str">
        <f t="shared" si="40"/>
        <v/>
      </c>
      <c r="G458" s="140"/>
      <c r="H458" s="141"/>
      <c r="I458" s="142"/>
    </row>
    <row r="459" ht="22.5" hidden="1" customHeight="1">
      <c r="A459" s="134"/>
      <c r="B459" s="135"/>
      <c r="C459" s="136"/>
      <c r="D459" s="137"/>
      <c r="E459" s="138"/>
      <c r="F459" s="139" t="str">
        <f t="shared" si="40"/>
        <v/>
      </c>
      <c r="G459" s="140"/>
      <c r="H459" s="141"/>
      <c r="I459" s="142"/>
    </row>
  </sheetData>
  <dataValidations>
    <dataValidation type="custom" allowBlank="1" showDropDown="1" sqref="C2:C459 F2:F459">
      <formula1>OR(NOT(ISERROR(DATEVALUE(C2))), AND(ISNUMBER(C2), LEFT(CELL("format", C2))="D"))</formula1>
    </dataValidation>
    <dataValidation type="list" allowBlank="1" sqref="A2:A459">
      <formula1>#REF!</formula1>
    </dataValidation>
    <dataValidation type="list" allowBlank="1" sqref="G2:G459">
      <formula1>"Conta Corrente,Crédito,Dinheiro"</formula1>
    </dataValidation>
    <dataValidation type="custom" allowBlank="1" showDropDown="1" sqref="D2:D459">
      <formula1>AND(ISNUMBER(D2),(NOT(OR(NOT(ISERROR(DATEVALUE(D2))), AND(ISNUMBER(D2), LEFT(CELL("format", D2))="D")))))</formula1>
    </dataValidation>
    <dataValidation type="list" allowBlank="1" sqref="H2:H459">
      <formula1>"Entrada,Saída"</formula1>
    </dataValidation>
    <dataValidation type="list" allowBlank="1" sqref="E2:E459">
      <formula1>"PAGO,NÃO PAGO"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4" max="5" width="16.25"/>
  </cols>
  <sheetData>
    <row r="1" ht="22.5" customHeight="1">
      <c r="A1" s="143" t="s">
        <v>162</v>
      </c>
      <c r="B1" s="144" t="s">
        <v>96</v>
      </c>
      <c r="C1" s="145" t="s">
        <v>106</v>
      </c>
      <c r="D1" s="143" t="s">
        <v>163</v>
      </c>
      <c r="E1" s="143" t="s">
        <v>55</v>
      </c>
    </row>
    <row r="2" ht="22.5" customHeight="1">
      <c r="A2" s="146">
        <v>45926.0</v>
      </c>
      <c r="B2" s="147">
        <f>SUMIFS(TB_BASE[Valor],TB_BASE[Data Pagamento],A2,TB_BASE[Tipo],"Saída")</f>
        <v>0</v>
      </c>
      <c r="C2" s="147">
        <f>SUMIFS(TB_BASE[Valor],TB_BASE[Data Pagamento],A2,TB_BASE[Tipo],"Entrada")</f>
        <v>750</v>
      </c>
      <c r="D2" s="147">
        <f t="shared" ref="D2:D190" si="1">C2+B2</f>
        <v>750</v>
      </c>
      <c r="E2" s="148">
        <v>750.0</v>
      </c>
    </row>
    <row r="3" ht="22.5" customHeight="1">
      <c r="A3" s="149">
        <v>45927.0</v>
      </c>
      <c r="B3" s="150">
        <f>SUMIFS(TB_BASE[Valor],TB_BASE[Data Pagamento],A3,TB_BASE[Tipo],"Saída")</f>
        <v>0</v>
      </c>
      <c r="C3" s="150">
        <f>SUMIFS(TB_BASE[Valor],TB_BASE[Data Pagamento],A3,TB_BASE[Tipo],"Entrada")</f>
        <v>0</v>
      </c>
      <c r="D3" s="150">
        <f t="shared" si="1"/>
        <v>0</v>
      </c>
      <c r="E3" s="148">
        <f t="shared" ref="E3:E10" si="2">D3+E2</f>
        <v>750</v>
      </c>
    </row>
    <row r="4" ht="22.5" customHeight="1">
      <c r="A4" s="149">
        <v>45928.0</v>
      </c>
      <c r="B4" s="150">
        <f>SUMIFS(TB_BASE[Valor],TB_BASE[Data Pagamento],A4,TB_BASE[Tipo],"Saída")</f>
        <v>0</v>
      </c>
      <c r="C4" s="150">
        <f>SUMIFS(TB_BASE[Valor],TB_BASE[Data Pagamento],A4,TB_BASE[Tipo],"Entrada")</f>
        <v>0</v>
      </c>
      <c r="D4" s="150">
        <f t="shared" si="1"/>
        <v>0</v>
      </c>
      <c r="E4" s="148">
        <f t="shared" si="2"/>
        <v>750</v>
      </c>
    </row>
    <row r="5" ht="22.5" customHeight="1">
      <c r="A5" s="149">
        <v>45929.0</v>
      </c>
      <c r="B5" s="150">
        <f>SUMIFS(TB_BASE[Valor],TB_BASE[Data Pagamento],A5,TB_BASE[Tipo],"Saída")</f>
        <v>0</v>
      </c>
      <c r="C5" s="150">
        <f>SUMIFS(TB_BASE[Valor],TB_BASE[Data Pagamento],A5,TB_BASE[Tipo],"Entrada")</f>
        <v>0</v>
      </c>
      <c r="D5" s="150">
        <f t="shared" si="1"/>
        <v>0</v>
      </c>
      <c r="E5" s="148">
        <f t="shared" si="2"/>
        <v>750</v>
      </c>
    </row>
    <row r="6" ht="22.5" customHeight="1">
      <c r="A6" s="149">
        <v>45930.0</v>
      </c>
      <c r="B6" s="150">
        <f>SUMIFS(TB_BASE[Valor],TB_BASE[Data Pagamento],A6,TB_BASE[Tipo],"Saída")</f>
        <v>0</v>
      </c>
      <c r="C6" s="150">
        <f>SUMIFS(TB_BASE[Valor],TB_BASE[Data Pagamento],A6,TB_BASE[Tipo],"Entrada")</f>
        <v>0</v>
      </c>
      <c r="D6" s="150">
        <f t="shared" si="1"/>
        <v>0</v>
      </c>
      <c r="E6" s="148">
        <f t="shared" si="2"/>
        <v>750</v>
      </c>
    </row>
    <row r="7" ht="22.5" customHeight="1">
      <c r="A7" s="149">
        <v>45931.0</v>
      </c>
      <c r="B7" s="150">
        <f>SUMIFS(TB_BASE[Valor],TB_BASE[Data Pagamento],A7,TB_BASE[Tipo],"Saída")</f>
        <v>-16137.95</v>
      </c>
      <c r="C7" s="150">
        <f>SUMIFS(TB_BASE[Valor],TB_BASE[Data Pagamento],A7,TB_BASE[Tipo],"Entrada")</f>
        <v>20703.66</v>
      </c>
      <c r="D7" s="150">
        <f t="shared" si="1"/>
        <v>4565.71</v>
      </c>
      <c r="E7" s="148">
        <f t="shared" si="2"/>
        <v>5315.71</v>
      </c>
    </row>
    <row r="8" ht="22.5" customHeight="1">
      <c r="A8" s="146">
        <v>45932.0</v>
      </c>
      <c r="B8" s="150">
        <f>SUMIFS(TB_BASE[Valor],TB_BASE[Data Pagamento],A8,TB_BASE[Tipo],"Saída")</f>
        <v>-94.28</v>
      </c>
      <c r="C8" s="150">
        <f>SUMIFS(TB_BASE[Valor],TB_BASE[Data Pagamento],A8,TB_BASE[Tipo],"Entrada")</f>
        <v>0</v>
      </c>
      <c r="D8" s="150">
        <f t="shared" si="1"/>
        <v>-94.28</v>
      </c>
      <c r="E8" s="148">
        <f t="shared" si="2"/>
        <v>5221.43</v>
      </c>
    </row>
    <row r="9" ht="22.5" customHeight="1">
      <c r="A9" s="149">
        <v>45933.0</v>
      </c>
      <c r="B9" s="150">
        <f>SUMIFS(TB_BASE[Valor],TB_BASE[Data Pagamento],A9,TB_BASE[Tipo],"Saída")</f>
        <v>-530</v>
      </c>
      <c r="C9" s="150">
        <f>SUMIFS(TB_BASE[Valor],TB_BASE[Data Pagamento],A9,TB_BASE[Tipo],"Entrada")</f>
        <v>0</v>
      </c>
      <c r="D9" s="150">
        <f t="shared" si="1"/>
        <v>-530</v>
      </c>
      <c r="E9" s="148">
        <f t="shared" si="2"/>
        <v>4691.43</v>
      </c>
    </row>
    <row r="10" ht="22.5" customHeight="1">
      <c r="A10" s="149">
        <v>45934.0</v>
      </c>
      <c r="B10" s="150">
        <f>SUMIFS(TB_BASE[Valor],TB_BASE[Data Pagamento],A10,TB_BASE[Tipo],"Saída")</f>
        <v>0</v>
      </c>
      <c r="C10" s="150">
        <f>SUMIFS(TB_BASE[Valor],TB_BASE[Data Pagamento],A10,TB_BASE[Tipo],"Entrada")</f>
        <v>750</v>
      </c>
      <c r="D10" s="150">
        <f t="shared" si="1"/>
        <v>750</v>
      </c>
      <c r="E10" s="148">
        <f t="shared" si="2"/>
        <v>5441.43</v>
      </c>
    </row>
    <row r="11" ht="22.5" customHeight="1">
      <c r="A11" s="149">
        <v>45935.0</v>
      </c>
      <c r="B11" s="150">
        <f>SUMIFS(TB_BASE[Valor],TB_BASE[Data Pagamento],A11,TB_BASE[Tipo],"Saída")</f>
        <v>0</v>
      </c>
      <c r="C11" s="150">
        <f>SUMIFS(TB_BASE[Valor],TB_BASE[Data Pagamento],A11,TB_BASE[Tipo],"Entrada")</f>
        <v>0</v>
      </c>
      <c r="D11" s="150">
        <f t="shared" si="1"/>
        <v>0</v>
      </c>
      <c r="E11" s="151">
        <v>3367.18</v>
      </c>
    </row>
    <row r="12" ht="22.5" customHeight="1">
      <c r="A12" s="149">
        <v>45936.0</v>
      </c>
      <c r="B12" s="150">
        <f>SUMIFS(TB_BASE[Valor],TB_BASE[Data Pagamento],A12,TB_BASE[Tipo],"Saída")</f>
        <v>0</v>
      </c>
      <c r="C12" s="150">
        <f>SUMIFS(TB_BASE[Valor],TB_BASE[Data Pagamento],A12,TB_BASE[Tipo],"Entrada")</f>
        <v>0</v>
      </c>
      <c r="D12" s="150">
        <f t="shared" si="1"/>
        <v>0</v>
      </c>
      <c r="E12" s="148">
        <f t="shared" ref="E12:E190" si="3">D12+E11</f>
        <v>3367.18</v>
      </c>
    </row>
    <row r="13" ht="22.5" customHeight="1">
      <c r="A13" s="149">
        <v>45937.0</v>
      </c>
      <c r="B13" s="150">
        <f>SUMIFS(TB_BASE[Valor],TB_BASE[Data Pagamento],A13,TB_BASE[Tipo],"Saída")</f>
        <v>-2338.88</v>
      </c>
      <c r="C13" s="150">
        <f>SUMIFS(TB_BASE[Valor],TB_BASE[Data Pagamento],A13,TB_BASE[Tipo],"Entrada")</f>
        <v>800</v>
      </c>
      <c r="D13" s="150">
        <f t="shared" si="1"/>
        <v>-1538.88</v>
      </c>
      <c r="E13" s="148">
        <f t="shared" si="3"/>
        <v>1828.3</v>
      </c>
    </row>
    <row r="14" ht="22.5" customHeight="1">
      <c r="A14" s="146">
        <v>45938.0</v>
      </c>
      <c r="B14" s="150">
        <f>SUMIFS(TB_BASE[Valor],TB_BASE[Data Pagamento],A14,TB_BASE[Tipo],"Saída")</f>
        <v>0</v>
      </c>
      <c r="C14" s="150">
        <f>SUMIFS(TB_BASE[Valor],TB_BASE[Data Pagamento],A14,TB_BASE[Tipo],"Entrada")</f>
        <v>0</v>
      </c>
      <c r="D14" s="150">
        <f t="shared" si="1"/>
        <v>0</v>
      </c>
      <c r="E14" s="148">
        <f t="shared" si="3"/>
        <v>1828.3</v>
      </c>
    </row>
    <row r="15" ht="22.5" customHeight="1">
      <c r="A15" s="149">
        <v>45939.0</v>
      </c>
      <c r="B15" s="150">
        <f>SUMIFS(TB_BASE[Valor],TB_BASE[Data Pagamento],A15,TB_BASE[Tipo],"Saída")</f>
        <v>0</v>
      </c>
      <c r="C15" s="150">
        <f>SUMIFS(TB_BASE[Valor],TB_BASE[Data Pagamento],A15,TB_BASE[Tipo],"Entrada")</f>
        <v>0</v>
      </c>
      <c r="D15" s="150">
        <f t="shared" si="1"/>
        <v>0</v>
      </c>
      <c r="E15" s="148">
        <f t="shared" si="3"/>
        <v>1828.3</v>
      </c>
    </row>
    <row r="16" ht="22.5" customHeight="1">
      <c r="A16" s="146">
        <v>45940.0</v>
      </c>
      <c r="B16" s="150">
        <f>SUMIFS(TB_BASE[Valor],TB_BASE[Data Pagamento],A16,TB_BASE[Tipo],"Saída")</f>
        <v>-1213.23</v>
      </c>
      <c r="C16" s="150">
        <f>SUMIFS(TB_BASE[Valor],TB_BASE[Data Pagamento],A16,TB_BASE[Tipo],"Entrada")</f>
        <v>450</v>
      </c>
      <c r="D16" s="150">
        <f t="shared" si="1"/>
        <v>-763.23</v>
      </c>
      <c r="E16" s="148">
        <f t="shared" si="3"/>
        <v>1065.07</v>
      </c>
    </row>
    <row r="17" ht="22.5" customHeight="1">
      <c r="A17" s="149">
        <v>45941.0</v>
      </c>
      <c r="B17" s="150">
        <f>SUMIFS(TB_BASE[Valor],TB_BASE[Data Pagamento],A17,TB_BASE[Tipo],"Saída")</f>
        <v>0</v>
      </c>
      <c r="C17" s="150">
        <f>SUMIFS(TB_BASE[Valor],TB_BASE[Data Pagamento],A17,TB_BASE[Tipo],"Entrada")</f>
        <v>750</v>
      </c>
      <c r="D17" s="150">
        <f t="shared" si="1"/>
        <v>750</v>
      </c>
      <c r="E17" s="148">
        <f t="shared" si="3"/>
        <v>1815.07</v>
      </c>
    </row>
    <row r="18" ht="22.5" customHeight="1">
      <c r="A18" s="149">
        <v>45942.0</v>
      </c>
      <c r="B18" s="150">
        <f>SUMIFS(TB_BASE[Valor],TB_BASE[Data Pagamento],A18,TB_BASE[Tipo],"Saída")</f>
        <v>0</v>
      </c>
      <c r="C18" s="150">
        <f>SUMIFS(TB_BASE[Valor],TB_BASE[Data Pagamento],A18,TB_BASE[Tipo],"Entrada")</f>
        <v>0</v>
      </c>
      <c r="D18" s="150">
        <f t="shared" si="1"/>
        <v>0</v>
      </c>
      <c r="E18" s="148">
        <f t="shared" si="3"/>
        <v>1815.07</v>
      </c>
    </row>
    <row r="19" ht="22.5" customHeight="1">
      <c r="A19" s="149">
        <v>45943.0</v>
      </c>
      <c r="B19" s="150">
        <f>SUMIFS(TB_BASE[Valor],TB_BASE[Data Pagamento],A19,TB_BASE[Tipo],"Saída")</f>
        <v>0</v>
      </c>
      <c r="C19" s="150">
        <f>SUMIFS(TB_BASE[Valor],TB_BASE[Data Pagamento],A19,TB_BASE[Tipo],"Entrada")</f>
        <v>0</v>
      </c>
      <c r="D19" s="150">
        <f t="shared" si="1"/>
        <v>0</v>
      </c>
      <c r="E19" s="148">
        <f t="shared" si="3"/>
        <v>1815.07</v>
      </c>
    </row>
    <row r="20" ht="22.5" customHeight="1">
      <c r="A20" s="149">
        <v>45944.0</v>
      </c>
      <c r="B20" s="150">
        <f>SUMIFS(TB_BASE[Valor],TB_BASE[Data Pagamento],A20,TB_BASE[Tipo],"Saída")</f>
        <v>0</v>
      </c>
      <c r="C20" s="150">
        <f>SUMIFS(TB_BASE[Valor],TB_BASE[Data Pagamento],A20,TB_BASE[Tipo],"Entrada")</f>
        <v>0</v>
      </c>
      <c r="D20" s="150">
        <f t="shared" si="1"/>
        <v>0</v>
      </c>
      <c r="E20" s="148">
        <f t="shared" si="3"/>
        <v>1815.07</v>
      </c>
    </row>
    <row r="21" ht="22.5" customHeight="1">
      <c r="A21" s="149">
        <v>45945.0</v>
      </c>
      <c r="B21" s="150">
        <f>SUMIFS(TB_BASE[Valor],TB_BASE[Data Pagamento],A21,TB_BASE[Tipo],"Saída")</f>
        <v>-254.81</v>
      </c>
      <c r="C21" s="150">
        <f>SUMIFS(TB_BASE[Valor],TB_BASE[Data Pagamento],A21,TB_BASE[Tipo],"Entrada")</f>
        <v>2954</v>
      </c>
      <c r="D21" s="150">
        <f t="shared" si="1"/>
        <v>2699.19</v>
      </c>
      <c r="E21" s="148">
        <f t="shared" si="3"/>
        <v>4514.26</v>
      </c>
    </row>
    <row r="22" ht="22.5" customHeight="1">
      <c r="A22" s="146">
        <v>45946.0</v>
      </c>
      <c r="B22" s="150">
        <f>SUMIFS(TB_BASE[Valor],TB_BASE[Data Pagamento],A22,TB_BASE[Tipo],"Saída")</f>
        <v>0</v>
      </c>
      <c r="C22" s="150">
        <f>SUMIFS(TB_BASE[Valor],TB_BASE[Data Pagamento],A22,TB_BASE[Tipo],"Entrada")</f>
        <v>0</v>
      </c>
      <c r="D22" s="150">
        <f t="shared" si="1"/>
        <v>0</v>
      </c>
      <c r="E22" s="148">
        <f t="shared" si="3"/>
        <v>4514.26</v>
      </c>
    </row>
    <row r="23" ht="22.5" customHeight="1">
      <c r="A23" s="149">
        <v>45947.0</v>
      </c>
      <c r="B23" s="150">
        <f>SUMIFS(TB_BASE[Valor],TB_BASE[Data Pagamento],A23,TB_BASE[Tipo],"Saída")</f>
        <v>-2202.49</v>
      </c>
      <c r="C23" s="150">
        <f>SUMIFS(TB_BASE[Valor],TB_BASE[Data Pagamento],A23,TB_BASE[Tipo],"Entrada")</f>
        <v>0</v>
      </c>
      <c r="D23" s="150">
        <f t="shared" si="1"/>
        <v>-2202.49</v>
      </c>
      <c r="E23" s="148">
        <f t="shared" si="3"/>
        <v>2311.77</v>
      </c>
    </row>
    <row r="24" ht="22.5" customHeight="1">
      <c r="A24" s="149">
        <v>45948.0</v>
      </c>
      <c r="B24" s="150">
        <f>SUMIFS(TB_BASE[Valor],TB_BASE[Data Pagamento],A24,TB_BASE[Tipo],"Saída")</f>
        <v>0</v>
      </c>
      <c r="C24" s="150">
        <f>SUMIFS(TB_BASE[Valor],TB_BASE[Data Pagamento],A24,TB_BASE[Tipo],"Entrada")</f>
        <v>750</v>
      </c>
      <c r="D24" s="150">
        <f t="shared" si="1"/>
        <v>750</v>
      </c>
      <c r="E24" s="148">
        <f t="shared" si="3"/>
        <v>3061.77</v>
      </c>
    </row>
    <row r="25" ht="22.5" customHeight="1">
      <c r="A25" s="149">
        <v>45949.0</v>
      </c>
      <c r="B25" s="150">
        <f>SUMIFS(TB_BASE[Valor],TB_BASE[Data Pagamento],A25,TB_BASE[Tipo],"Saída")</f>
        <v>0</v>
      </c>
      <c r="C25" s="150">
        <f>SUMIFS(TB_BASE[Valor],TB_BASE[Data Pagamento],A25,TB_BASE[Tipo],"Entrada")</f>
        <v>0</v>
      </c>
      <c r="D25" s="150">
        <f t="shared" si="1"/>
        <v>0</v>
      </c>
      <c r="E25" s="148">
        <f t="shared" si="3"/>
        <v>3061.77</v>
      </c>
    </row>
    <row r="26" ht="22.5" customHeight="1">
      <c r="A26" s="149">
        <v>45950.0</v>
      </c>
      <c r="B26" s="150">
        <f>SUMIFS(TB_BASE[Valor],TB_BASE[Data Pagamento],A26,TB_BASE[Tipo],"Saída")</f>
        <v>0</v>
      </c>
      <c r="C26" s="150">
        <f>SUMIFS(TB_BASE[Valor],TB_BASE[Data Pagamento],A26,TB_BASE[Tipo],"Entrada")</f>
        <v>0</v>
      </c>
      <c r="D26" s="150">
        <f t="shared" si="1"/>
        <v>0</v>
      </c>
      <c r="E26" s="148">
        <f t="shared" si="3"/>
        <v>3061.77</v>
      </c>
    </row>
    <row r="27" ht="22.5" customHeight="1">
      <c r="A27" s="149">
        <v>45951.0</v>
      </c>
      <c r="B27" s="150">
        <f>SUMIFS(TB_BASE[Valor],TB_BASE[Data Pagamento],A27,TB_BASE[Tipo],"Saída")</f>
        <v>0</v>
      </c>
      <c r="C27" s="150">
        <f>SUMIFS(TB_BASE[Valor],TB_BASE[Data Pagamento],A27,TB_BASE[Tipo],"Entrada")</f>
        <v>0</v>
      </c>
      <c r="D27" s="150">
        <f t="shared" si="1"/>
        <v>0</v>
      </c>
      <c r="E27" s="148">
        <f t="shared" si="3"/>
        <v>3061.77</v>
      </c>
    </row>
    <row r="28" ht="22.5" customHeight="1">
      <c r="A28" s="146">
        <v>45952.0</v>
      </c>
      <c r="B28" s="150">
        <f>SUMIFS(TB_BASE[Valor],TB_BASE[Data Pagamento],A28,TB_BASE[Tipo],"Saída")</f>
        <v>0</v>
      </c>
      <c r="C28" s="150">
        <f>SUMIFS(TB_BASE[Valor],TB_BASE[Data Pagamento],A28,TB_BASE[Tipo],"Entrada")</f>
        <v>0</v>
      </c>
      <c r="D28" s="150">
        <f t="shared" si="1"/>
        <v>0</v>
      </c>
      <c r="E28" s="148">
        <f t="shared" si="3"/>
        <v>3061.77</v>
      </c>
    </row>
    <row r="29" ht="22.5" customHeight="1">
      <c r="A29" s="149">
        <v>45953.0</v>
      </c>
      <c r="B29" s="150">
        <f>SUMIFS(TB_BASE[Valor],TB_BASE[Data Pagamento],A29,TB_BASE[Tipo],"Saída")</f>
        <v>0</v>
      </c>
      <c r="C29" s="150">
        <f>SUMIFS(TB_BASE[Valor],TB_BASE[Data Pagamento],A29,TB_BASE[Tipo],"Entrada")</f>
        <v>0</v>
      </c>
      <c r="D29" s="150">
        <f t="shared" si="1"/>
        <v>0</v>
      </c>
      <c r="E29" s="148">
        <f t="shared" si="3"/>
        <v>3061.77</v>
      </c>
    </row>
    <row r="30" ht="22.5" customHeight="1">
      <c r="A30" s="146">
        <v>45954.0</v>
      </c>
      <c r="B30" s="150">
        <f>SUMIFS(TB_BASE[Valor],TB_BASE[Data Pagamento],A30,TB_BASE[Tipo],"Saída")</f>
        <v>0</v>
      </c>
      <c r="C30" s="150">
        <f>SUMIFS(TB_BASE[Valor],TB_BASE[Data Pagamento],A30,TB_BASE[Tipo],"Entrada")</f>
        <v>0</v>
      </c>
      <c r="D30" s="150">
        <f t="shared" si="1"/>
        <v>0</v>
      </c>
      <c r="E30" s="148">
        <f t="shared" si="3"/>
        <v>3061.77</v>
      </c>
    </row>
    <row r="31" ht="22.5" customHeight="1">
      <c r="A31" s="149">
        <v>45955.0</v>
      </c>
      <c r="B31" s="150">
        <f>SUMIFS(TB_BASE[Valor],TB_BASE[Data Pagamento],A31,TB_BASE[Tipo],"Saída")</f>
        <v>-89.8</v>
      </c>
      <c r="C31" s="150">
        <f>SUMIFS(TB_BASE[Valor],TB_BASE[Data Pagamento],A31,TB_BASE[Tipo],"Entrada")</f>
        <v>750</v>
      </c>
      <c r="D31" s="150">
        <f t="shared" si="1"/>
        <v>660.2</v>
      </c>
      <c r="E31" s="148">
        <f t="shared" si="3"/>
        <v>3721.97</v>
      </c>
    </row>
    <row r="32" ht="22.5" customHeight="1">
      <c r="A32" s="149">
        <v>45956.0</v>
      </c>
      <c r="B32" s="150">
        <f>SUMIFS(TB_BASE[Valor],TB_BASE[Data Pagamento],A32,TB_BASE[Tipo],"Saída")</f>
        <v>0</v>
      </c>
      <c r="C32" s="150">
        <f>SUMIFS(TB_BASE[Valor],TB_BASE[Data Pagamento],A32,TB_BASE[Tipo],"Entrada")</f>
        <v>0</v>
      </c>
      <c r="D32" s="150">
        <f t="shared" si="1"/>
        <v>0</v>
      </c>
      <c r="E32" s="148">
        <f t="shared" si="3"/>
        <v>3721.97</v>
      </c>
    </row>
    <row r="33" ht="22.5" customHeight="1">
      <c r="A33" s="149">
        <v>45957.0</v>
      </c>
      <c r="B33" s="150">
        <f>SUMIFS(TB_BASE[Valor],TB_BASE[Data Pagamento],A33,TB_BASE[Tipo],"Saída")</f>
        <v>0</v>
      </c>
      <c r="C33" s="150">
        <f>SUMIFS(TB_BASE[Valor],TB_BASE[Data Pagamento],A33,TB_BASE[Tipo],"Entrada")</f>
        <v>0</v>
      </c>
      <c r="D33" s="150">
        <f t="shared" si="1"/>
        <v>0</v>
      </c>
      <c r="E33" s="148">
        <f t="shared" si="3"/>
        <v>3721.97</v>
      </c>
    </row>
    <row r="34" ht="22.5" customHeight="1">
      <c r="A34" s="149">
        <v>45958.0</v>
      </c>
      <c r="B34" s="150">
        <f>SUMIFS(TB_BASE[Valor],TB_BASE[Data Pagamento],A34,TB_BASE[Tipo],"Saída")</f>
        <v>0</v>
      </c>
      <c r="C34" s="150">
        <f>SUMIFS(TB_BASE[Valor],TB_BASE[Data Pagamento],A34,TB_BASE[Tipo],"Entrada")</f>
        <v>0</v>
      </c>
      <c r="D34" s="150">
        <f t="shared" si="1"/>
        <v>0</v>
      </c>
      <c r="E34" s="148">
        <f t="shared" si="3"/>
        <v>3721.97</v>
      </c>
    </row>
    <row r="35" ht="22.5" customHeight="1">
      <c r="A35" s="149">
        <v>45959.0</v>
      </c>
      <c r="B35" s="150">
        <f>SUMIFS(TB_BASE[Valor],TB_BASE[Data Pagamento],A35,TB_BASE[Tipo],"Saída")</f>
        <v>0</v>
      </c>
      <c r="C35" s="150">
        <f>SUMIFS(TB_BASE[Valor],TB_BASE[Data Pagamento],A35,TB_BASE[Tipo],"Entrada")</f>
        <v>0</v>
      </c>
      <c r="D35" s="150">
        <f t="shared" si="1"/>
        <v>0</v>
      </c>
      <c r="E35" s="148">
        <f t="shared" si="3"/>
        <v>3721.97</v>
      </c>
    </row>
    <row r="36" ht="22.5" customHeight="1">
      <c r="A36" s="146">
        <v>45960.0</v>
      </c>
      <c r="B36" s="150">
        <f>SUMIFS(TB_BASE[Valor],TB_BASE[Data Pagamento],A36,TB_BASE[Tipo],"Saída")</f>
        <v>0</v>
      </c>
      <c r="C36" s="150">
        <f>SUMIFS(TB_BASE[Valor],TB_BASE[Data Pagamento],A36,TB_BASE[Tipo],"Entrada")</f>
        <v>0</v>
      </c>
      <c r="D36" s="150">
        <f t="shared" si="1"/>
        <v>0</v>
      </c>
      <c r="E36" s="148">
        <f t="shared" si="3"/>
        <v>3721.97</v>
      </c>
    </row>
    <row r="37" ht="22.5" customHeight="1">
      <c r="A37" s="146">
        <v>45961.0</v>
      </c>
      <c r="B37" s="150">
        <f>SUMIFS(TB_BASE[Valor],TB_BASE[Data Pagamento],A37,TB_BASE[Tipo],"Saída")</f>
        <v>-2462.25</v>
      </c>
      <c r="C37" s="150">
        <f>SUMIFS(TB_BASE[Valor],TB_BASE[Data Pagamento],A37,TB_BASE[Tipo],"Entrada")</f>
        <v>0</v>
      </c>
      <c r="D37" s="150">
        <f t="shared" si="1"/>
        <v>-2462.25</v>
      </c>
      <c r="E37" s="148">
        <f t="shared" si="3"/>
        <v>1259.72</v>
      </c>
    </row>
    <row r="38" ht="22.5" customHeight="1">
      <c r="A38" s="149">
        <v>45962.0</v>
      </c>
      <c r="B38" s="150">
        <f>SUMIFS(TB_BASE[Valor],TB_BASE[Data Pagamento],A38,TB_BASE[Tipo],"Saída")</f>
        <v>-4813.5</v>
      </c>
      <c r="C38" s="150">
        <f>SUMIFS(TB_BASE[Valor],TB_BASE[Data Pagamento],A38,TB_BASE[Tipo],"Entrada")</f>
        <v>750</v>
      </c>
      <c r="D38" s="150">
        <f t="shared" si="1"/>
        <v>-4063.5</v>
      </c>
      <c r="E38" s="148">
        <f t="shared" si="3"/>
        <v>-2803.78</v>
      </c>
    </row>
    <row r="39" ht="22.5" customHeight="1">
      <c r="A39" s="149">
        <v>45963.0</v>
      </c>
      <c r="B39" s="150">
        <f>SUMIFS(TB_BASE[Valor],TB_BASE[Data Pagamento],A39,TB_BASE[Tipo],"Saída")</f>
        <v>-58.96</v>
      </c>
      <c r="C39" s="150">
        <f>SUMIFS(TB_BASE[Valor],TB_BASE[Data Pagamento],A39,TB_BASE[Tipo],"Entrada")</f>
        <v>0</v>
      </c>
      <c r="D39" s="150">
        <f t="shared" si="1"/>
        <v>-58.96</v>
      </c>
      <c r="E39" s="148">
        <f t="shared" si="3"/>
        <v>-2862.74</v>
      </c>
    </row>
    <row r="40" ht="22.5" customHeight="1">
      <c r="A40" s="149">
        <v>45964.0</v>
      </c>
      <c r="B40" s="150">
        <f>SUMIFS(TB_BASE[Valor],TB_BASE[Data Pagamento],A40,TB_BASE[Tipo],"Saída")</f>
        <v>0</v>
      </c>
      <c r="C40" s="150">
        <f>SUMIFS(TB_BASE[Valor],TB_BASE[Data Pagamento],A40,TB_BASE[Tipo],"Entrada")</f>
        <v>0</v>
      </c>
      <c r="D40" s="150">
        <f t="shared" si="1"/>
        <v>0</v>
      </c>
      <c r="E40" s="148">
        <f t="shared" si="3"/>
        <v>-2862.74</v>
      </c>
    </row>
    <row r="41" ht="22.5" customHeight="1">
      <c r="A41" s="149">
        <v>45965.0</v>
      </c>
      <c r="B41" s="150">
        <f>SUMIFS(TB_BASE[Valor],TB_BASE[Data Pagamento],A41,TB_BASE[Tipo],"Saída")</f>
        <v>0</v>
      </c>
      <c r="C41" s="150">
        <f>SUMIFS(TB_BASE[Valor],TB_BASE[Data Pagamento],A41,TB_BASE[Tipo],"Entrada")</f>
        <v>0</v>
      </c>
      <c r="D41" s="150">
        <f t="shared" si="1"/>
        <v>0</v>
      </c>
      <c r="E41" s="148">
        <f t="shared" si="3"/>
        <v>-2862.74</v>
      </c>
    </row>
    <row r="42" ht="22.5" customHeight="1">
      <c r="A42" s="149">
        <v>45966.0</v>
      </c>
      <c r="B42" s="150">
        <f>SUMIFS(TB_BASE[Valor],TB_BASE[Data Pagamento],A42,TB_BASE[Tipo],"Saída")</f>
        <v>-3600</v>
      </c>
      <c r="C42" s="150">
        <f>SUMIFS(TB_BASE[Valor],TB_BASE[Data Pagamento],A42,TB_BASE[Tipo],"Entrada")</f>
        <v>19800</v>
      </c>
      <c r="D42" s="150">
        <f t="shared" si="1"/>
        <v>16200</v>
      </c>
      <c r="E42" s="148">
        <f t="shared" si="3"/>
        <v>13337.26</v>
      </c>
    </row>
    <row r="43" ht="22.5" customHeight="1">
      <c r="A43" s="146">
        <v>45967.0</v>
      </c>
      <c r="B43" s="150">
        <f>SUMIFS(TB_BASE[Valor],TB_BASE[Data Pagamento],A43,TB_BASE[Tipo],"Saída")</f>
        <v>-160.29</v>
      </c>
      <c r="C43" s="150">
        <f>SUMIFS(TB_BASE[Valor],TB_BASE[Data Pagamento],A43,TB_BASE[Tipo],"Entrada")</f>
        <v>0</v>
      </c>
      <c r="D43" s="150">
        <f t="shared" si="1"/>
        <v>-160.29</v>
      </c>
      <c r="E43" s="148">
        <f t="shared" si="3"/>
        <v>13176.97</v>
      </c>
    </row>
    <row r="44" ht="22.5" customHeight="1">
      <c r="A44" s="149">
        <v>45968.0</v>
      </c>
      <c r="B44" s="150">
        <f>SUMIFS(TB_BASE[Valor],TB_BASE[Data Pagamento],A44,TB_BASE[Tipo],"Saída")</f>
        <v>0</v>
      </c>
      <c r="C44" s="150">
        <f>SUMIFS(TB_BASE[Valor],TB_BASE[Data Pagamento],A44,TB_BASE[Tipo],"Entrada")</f>
        <v>0</v>
      </c>
      <c r="D44" s="150">
        <f t="shared" si="1"/>
        <v>0</v>
      </c>
      <c r="E44" s="148">
        <f t="shared" si="3"/>
        <v>13176.97</v>
      </c>
    </row>
    <row r="45" ht="22.5" customHeight="1">
      <c r="A45" s="149">
        <v>45969.0</v>
      </c>
      <c r="B45" s="150">
        <f>SUMIFS(TB_BASE[Valor],TB_BASE[Data Pagamento],A45,TB_BASE[Tipo],"Saída")</f>
        <v>0</v>
      </c>
      <c r="C45" s="150">
        <f>SUMIFS(TB_BASE[Valor],TB_BASE[Data Pagamento],A45,TB_BASE[Tipo],"Entrada")</f>
        <v>750</v>
      </c>
      <c r="D45" s="150">
        <f t="shared" si="1"/>
        <v>750</v>
      </c>
      <c r="E45" s="148">
        <f t="shared" si="3"/>
        <v>13926.97</v>
      </c>
    </row>
    <row r="46" ht="22.5" customHeight="1">
      <c r="A46" s="149">
        <v>45970.0</v>
      </c>
      <c r="B46" s="150">
        <f>SUMIFS(TB_BASE[Valor],TB_BASE[Data Pagamento],A46,TB_BASE[Tipo],"Saída")</f>
        <v>0</v>
      </c>
      <c r="C46" s="150">
        <f>SUMIFS(TB_BASE[Valor],TB_BASE[Data Pagamento],A46,TB_BASE[Tipo],"Entrada")</f>
        <v>12500</v>
      </c>
      <c r="D46" s="150">
        <f t="shared" si="1"/>
        <v>12500</v>
      </c>
      <c r="E46" s="148">
        <f t="shared" si="3"/>
        <v>26426.97</v>
      </c>
    </row>
    <row r="47" ht="22.5" customHeight="1">
      <c r="A47" s="149">
        <v>45971.0</v>
      </c>
      <c r="B47" s="150">
        <f>SUMIFS(TB_BASE[Valor],TB_BASE[Data Pagamento],A47,TB_BASE[Tipo],"Saída")</f>
        <v>-3063.17</v>
      </c>
      <c r="C47" s="150">
        <f>SUMIFS(TB_BASE[Valor],TB_BASE[Data Pagamento],A47,TB_BASE[Tipo],"Entrada")</f>
        <v>450</v>
      </c>
      <c r="D47" s="150">
        <f t="shared" si="1"/>
        <v>-2613.17</v>
      </c>
      <c r="E47" s="148">
        <f t="shared" si="3"/>
        <v>23813.8</v>
      </c>
    </row>
    <row r="48" ht="22.5" customHeight="1">
      <c r="A48" s="149">
        <v>45972.0</v>
      </c>
      <c r="B48" s="150">
        <f>SUMIFS(TB_BASE[Valor],TB_BASE[Data Pagamento],A48,TB_BASE[Tipo],"Saída")</f>
        <v>-5450.51</v>
      </c>
      <c r="C48" s="150">
        <f>SUMIFS(TB_BASE[Valor],TB_BASE[Data Pagamento],A48,TB_BASE[Tipo],"Entrada")</f>
        <v>0</v>
      </c>
      <c r="D48" s="150">
        <f t="shared" si="1"/>
        <v>-5450.51</v>
      </c>
      <c r="E48" s="148">
        <f t="shared" si="3"/>
        <v>18363.29</v>
      </c>
    </row>
    <row r="49" ht="22.5" customHeight="1">
      <c r="A49" s="146">
        <v>45973.0</v>
      </c>
      <c r="B49" s="150">
        <f>SUMIFS(TB_BASE[Valor],TB_BASE[Data Pagamento],A49,TB_BASE[Tipo],"Saída")</f>
        <v>0</v>
      </c>
      <c r="C49" s="150">
        <f>SUMIFS(TB_BASE[Valor],TB_BASE[Data Pagamento],A49,TB_BASE[Tipo],"Entrada")</f>
        <v>0</v>
      </c>
      <c r="D49" s="150">
        <f t="shared" si="1"/>
        <v>0</v>
      </c>
      <c r="E49" s="148">
        <f t="shared" si="3"/>
        <v>18363.29</v>
      </c>
    </row>
    <row r="50" ht="22.5" customHeight="1">
      <c r="A50" s="149">
        <v>45974.0</v>
      </c>
      <c r="B50" s="150">
        <f>SUMIFS(TB_BASE[Valor],TB_BASE[Data Pagamento],A50,TB_BASE[Tipo],"Saída")</f>
        <v>0</v>
      </c>
      <c r="C50" s="150">
        <f>SUMIFS(TB_BASE[Valor],TB_BASE[Data Pagamento],A50,TB_BASE[Tipo],"Entrada")</f>
        <v>0</v>
      </c>
      <c r="D50" s="150">
        <f t="shared" si="1"/>
        <v>0</v>
      </c>
      <c r="E50" s="148">
        <f t="shared" si="3"/>
        <v>18363.29</v>
      </c>
    </row>
    <row r="51" ht="22.5" customHeight="1">
      <c r="A51" s="146">
        <v>45975.0</v>
      </c>
      <c r="B51" s="150">
        <f>SUMIFS(TB_BASE[Valor],TB_BASE[Data Pagamento],A51,TB_BASE[Tipo],"Saída")</f>
        <v>0</v>
      </c>
      <c r="C51" s="150">
        <f>SUMIFS(TB_BASE[Valor],TB_BASE[Data Pagamento],A51,TB_BASE[Tipo],"Entrada")</f>
        <v>0</v>
      </c>
      <c r="D51" s="150">
        <f t="shared" si="1"/>
        <v>0</v>
      </c>
      <c r="E51" s="148">
        <f t="shared" si="3"/>
        <v>18363.29</v>
      </c>
    </row>
    <row r="52" ht="22.5" customHeight="1">
      <c r="A52" s="149">
        <v>45976.0</v>
      </c>
      <c r="B52" s="150">
        <f>SUMIFS(TB_BASE[Valor],TB_BASE[Data Pagamento],A52,TB_BASE[Tipo],"Saída")</f>
        <v>-254.81</v>
      </c>
      <c r="C52" s="150">
        <f>SUMIFS(TB_BASE[Valor],TB_BASE[Data Pagamento],A52,TB_BASE[Tipo],"Entrada")</f>
        <v>750</v>
      </c>
      <c r="D52" s="150">
        <f t="shared" si="1"/>
        <v>495.19</v>
      </c>
      <c r="E52" s="148">
        <f t="shared" si="3"/>
        <v>18858.48</v>
      </c>
    </row>
    <row r="53" ht="22.5" customHeight="1">
      <c r="A53" s="149">
        <v>45977.0</v>
      </c>
      <c r="B53" s="150">
        <f>SUMIFS(TB_BASE[Valor],TB_BASE[Data Pagamento],A53,TB_BASE[Tipo],"Saída")</f>
        <v>0</v>
      </c>
      <c r="C53" s="150">
        <f>SUMIFS(TB_BASE[Valor],TB_BASE[Data Pagamento],A53,TB_BASE[Tipo],"Entrada")</f>
        <v>0</v>
      </c>
      <c r="D53" s="150">
        <f t="shared" si="1"/>
        <v>0</v>
      </c>
      <c r="E53" s="148">
        <f t="shared" si="3"/>
        <v>18858.48</v>
      </c>
    </row>
    <row r="54" ht="22.5" customHeight="1">
      <c r="A54" s="149">
        <v>45978.0</v>
      </c>
      <c r="B54" s="150">
        <f>SUMIFS(TB_BASE[Valor],TB_BASE[Data Pagamento],A54,TB_BASE[Tipo],"Saída")</f>
        <v>0</v>
      </c>
      <c r="C54" s="150">
        <f>SUMIFS(TB_BASE[Valor],TB_BASE[Data Pagamento],A54,TB_BASE[Tipo],"Entrada")</f>
        <v>0</v>
      </c>
      <c r="D54" s="150">
        <f t="shared" si="1"/>
        <v>0</v>
      </c>
      <c r="E54" s="148">
        <f t="shared" si="3"/>
        <v>18858.48</v>
      </c>
    </row>
    <row r="55" ht="22.5" customHeight="1">
      <c r="A55" s="149">
        <v>45979.0</v>
      </c>
      <c r="B55" s="150">
        <f>SUMIFS(TB_BASE[Valor],TB_BASE[Data Pagamento],A55,TB_BASE[Tipo],"Saída")</f>
        <v>0</v>
      </c>
      <c r="C55" s="150">
        <f>SUMIFS(TB_BASE[Valor],TB_BASE[Data Pagamento],A55,TB_BASE[Tipo],"Entrada")</f>
        <v>0</v>
      </c>
      <c r="D55" s="150">
        <f t="shared" si="1"/>
        <v>0</v>
      </c>
      <c r="E55" s="148">
        <f t="shared" si="3"/>
        <v>18858.48</v>
      </c>
    </row>
    <row r="56" ht="22.5" customHeight="1">
      <c r="A56" s="149">
        <v>45980.0</v>
      </c>
      <c r="B56" s="150">
        <f>SUMIFS(TB_BASE[Valor],TB_BASE[Data Pagamento],A56,TB_BASE[Tipo],"Saída")</f>
        <v>0</v>
      </c>
      <c r="C56" s="150">
        <f>SUMIFS(TB_BASE[Valor],TB_BASE[Data Pagamento],A56,TB_BASE[Tipo],"Entrada")</f>
        <v>0</v>
      </c>
      <c r="D56" s="150">
        <f t="shared" si="1"/>
        <v>0</v>
      </c>
      <c r="E56" s="148">
        <f t="shared" si="3"/>
        <v>18858.48</v>
      </c>
    </row>
    <row r="57" ht="22.5" customHeight="1">
      <c r="A57" s="146">
        <v>45981.0</v>
      </c>
      <c r="B57" s="150">
        <f>SUMIFS(TB_BASE[Valor],TB_BASE[Data Pagamento],A57,TB_BASE[Tipo],"Saída")</f>
        <v>0</v>
      </c>
      <c r="C57" s="150">
        <f>SUMIFS(TB_BASE[Valor],TB_BASE[Data Pagamento],A57,TB_BASE[Tipo],"Entrada")</f>
        <v>0</v>
      </c>
      <c r="D57" s="150">
        <f t="shared" si="1"/>
        <v>0</v>
      </c>
      <c r="E57" s="148">
        <f t="shared" si="3"/>
        <v>18858.48</v>
      </c>
    </row>
    <row r="58" ht="22.5" customHeight="1">
      <c r="A58" s="149">
        <v>45982.0</v>
      </c>
      <c r="B58" s="150">
        <f>SUMIFS(TB_BASE[Valor],TB_BASE[Data Pagamento],A58,TB_BASE[Tipo],"Saída")</f>
        <v>0</v>
      </c>
      <c r="C58" s="150">
        <f>SUMIFS(TB_BASE[Valor],TB_BASE[Data Pagamento],A58,TB_BASE[Tipo],"Entrada")</f>
        <v>0</v>
      </c>
      <c r="D58" s="150">
        <f t="shared" si="1"/>
        <v>0</v>
      </c>
      <c r="E58" s="148">
        <f t="shared" si="3"/>
        <v>18858.48</v>
      </c>
    </row>
    <row r="59" ht="22.5" customHeight="1">
      <c r="A59" s="149">
        <v>45983.0</v>
      </c>
      <c r="B59" s="150">
        <f>SUMIFS(TB_BASE[Valor],TB_BASE[Data Pagamento],A59,TB_BASE[Tipo],"Saída")</f>
        <v>0</v>
      </c>
      <c r="C59" s="150">
        <f>SUMIFS(TB_BASE[Valor],TB_BASE[Data Pagamento],A59,TB_BASE[Tipo],"Entrada")</f>
        <v>750</v>
      </c>
      <c r="D59" s="150">
        <f t="shared" si="1"/>
        <v>750</v>
      </c>
      <c r="E59" s="148">
        <f t="shared" si="3"/>
        <v>19608.48</v>
      </c>
    </row>
    <row r="60" ht="22.5" customHeight="1">
      <c r="A60" s="149">
        <v>45984.0</v>
      </c>
      <c r="B60" s="150">
        <f>SUMIFS(TB_BASE[Valor],TB_BASE[Data Pagamento],A60,TB_BASE[Tipo],"Saída")</f>
        <v>0</v>
      </c>
      <c r="C60" s="150">
        <f>SUMIFS(TB_BASE[Valor],TB_BASE[Data Pagamento],A60,TB_BASE[Tipo],"Entrada")</f>
        <v>0</v>
      </c>
      <c r="D60" s="150">
        <f t="shared" si="1"/>
        <v>0</v>
      </c>
      <c r="E60" s="148">
        <f t="shared" si="3"/>
        <v>19608.48</v>
      </c>
    </row>
    <row r="61" ht="22.5" customHeight="1">
      <c r="A61" s="149">
        <v>45985.0</v>
      </c>
      <c r="B61" s="150">
        <f>SUMIFS(TB_BASE[Valor],TB_BASE[Data Pagamento],A61,TB_BASE[Tipo],"Saída")</f>
        <v>0</v>
      </c>
      <c r="C61" s="150">
        <f>SUMIFS(TB_BASE[Valor],TB_BASE[Data Pagamento],A61,TB_BASE[Tipo],"Entrada")</f>
        <v>0</v>
      </c>
      <c r="D61" s="150">
        <f t="shared" si="1"/>
        <v>0</v>
      </c>
      <c r="E61" s="148">
        <f t="shared" si="3"/>
        <v>19608.48</v>
      </c>
    </row>
    <row r="62" ht="22.5" customHeight="1">
      <c r="A62" s="149">
        <v>45986.0</v>
      </c>
      <c r="B62" s="150">
        <f>SUMIFS(TB_BASE[Valor],TB_BASE[Data Pagamento],A62,TB_BASE[Tipo],"Saída")</f>
        <v>0</v>
      </c>
      <c r="C62" s="150">
        <f>SUMIFS(TB_BASE[Valor],TB_BASE[Data Pagamento],A62,TB_BASE[Tipo],"Entrada")</f>
        <v>0</v>
      </c>
      <c r="D62" s="150">
        <f t="shared" si="1"/>
        <v>0</v>
      </c>
      <c r="E62" s="148">
        <f t="shared" si="3"/>
        <v>19608.48</v>
      </c>
    </row>
    <row r="63" ht="22.5" customHeight="1">
      <c r="A63" s="146">
        <v>45987.0</v>
      </c>
      <c r="B63" s="150">
        <f>SUMIFS(TB_BASE[Valor],TB_BASE[Data Pagamento],A63,TB_BASE[Tipo],"Saída")</f>
        <v>0</v>
      </c>
      <c r="C63" s="150">
        <f>SUMIFS(TB_BASE[Valor],TB_BASE[Data Pagamento],A63,TB_BASE[Tipo],"Entrada")</f>
        <v>0</v>
      </c>
      <c r="D63" s="150">
        <f t="shared" si="1"/>
        <v>0</v>
      </c>
      <c r="E63" s="148">
        <f t="shared" si="3"/>
        <v>19608.48</v>
      </c>
    </row>
    <row r="64" ht="22.5" customHeight="1">
      <c r="A64" s="149">
        <v>45988.0</v>
      </c>
      <c r="B64" s="150">
        <f>SUMIFS(TB_BASE[Valor],TB_BASE[Data Pagamento],A64,TB_BASE[Tipo],"Saída")</f>
        <v>0</v>
      </c>
      <c r="C64" s="150">
        <f>SUMIFS(TB_BASE[Valor],TB_BASE[Data Pagamento],A64,TB_BASE[Tipo],"Entrada")</f>
        <v>0</v>
      </c>
      <c r="D64" s="150">
        <f t="shared" si="1"/>
        <v>0</v>
      </c>
      <c r="E64" s="148">
        <f t="shared" si="3"/>
        <v>19608.48</v>
      </c>
    </row>
    <row r="65" ht="22.5" customHeight="1">
      <c r="A65" s="146">
        <v>45989.0</v>
      </c>
      <c r="B65" s="150">
        <f>SUMIFS(TB_BASE[Valor],TB_BASE[Data Pagamento],A65,TB_BASE[Tipo],"Saída")</f>
        <v>0</v>
      </c>
      <c r="C65" s="150">
        <f>SUMIFS(TB_BASE[Valor],TB_BASE[Data Pagamento],A65,TB_BASE[Tipo],"Entrada")</f>
        <v>0</v>
      </c>
      <c r="D65" s="150">
        <f t="shared" si="1"/>
        <v>0</v>
      </c>
      <c r="E65" s="148">
        <f t="shared" si="3"/>
        <v>19608.48</v>
      </c>
    </row>
    <row r="66" ht="22.5" customHeight="1">
      <c r="A66" s="149">
        <v>45990.0</v>
      </c>
      <c r="B66" s="150">
        <f>SUMIFS(TB_BASE[Valor],TB_BASE[Data Pagamento],A66,TB_BASE[Tipo],"Saída")</f>
        <v>0</v>
      </c>
      <c r="C66" s="150">
        <f>SUMIFS(TB_BASE[Valor],TB_BASE[Data Pagamento],A66,TB_BASE[Tipo],"Entrada")</f>
        <v>750</v>
      </c>
      <c r="D66" s="150">
        <f t="shared" si="1"/>
        <v>750</v>
      </c>
      <c r="E66" s="148">
        <f t="shared" si="3"/>
        <v>20358.48</v>
      </c>
    </row>
    <row r="67" ht="22.5" customHeight="1">
      <c r="A67" s="149">
        <v>45991.0</v>
      </c>
      <c r="B67" s="150">
        <f>SUMIFS(TB_BASE[Valor],TB_BASE[Data Pagamento],A67,TB_BASE[Tipo],"Saída")</f>
        <v>0</v>
      </c>
      <c r="C67" s="150">
        <f>SUMIFS(TB_BASE[Valor],TB_BASE[Data Pagamento],A67,TB_BASE[Tipo],"Entrada")</f>
        <v>0</v>
      </c>
      <c r="D67" s="150">
        <f t="shared" si="1"/>
        <v>0</v>
      </c>
      <c r="E67" s="148">
        <f t="shared" si="3"/>
        <v>20358.48</v>
      </c>
    </row>
    <row r="68" ht="22.5" customHeight="1">
      <c r="A68" s="149">
        <v>45992.0</v>
      </c>
      <c r="B68" s="150">
        <f>SUMIFS(TB_BASE[Valor],TB_BASE[Data Pagamento],A68,TB_BASE[Tipo],"Saída")</f>
        <v>-5134</v>
      </c>
      <c r="C68" s="150">
        <f>SUMIFS(TB_BASE[Valor],TB_BASE[Data Pagamento],A68,TB_BASE[Tipo],"Entrada")</f>
        <v>0</v>
      </c>
      <c r="D68" s="150">
        <f t="shared" si="1"/>
        <v>-5134</v>
      </c>
      <c r="E68" s="148">
        <f t="shared" si="3"/>
        <v>15224.48</v>
      </c>
    </row>
    <row r="69" ht="22.5" customHeight="1">
      <c r="A69" s="149">
        <v>45993.0</v>
      </c>
      <c r="B69" s="150">
        <f>SUMIFS(TB_BASE[Valor],TB_BASE[Data Pagamento],A69,TB_BASE[Tipo],"Saída")</f>
        <v>-58.96</v>
      </c>
      <c r="C69" s="150">
        <f>SUMIFS(TB_BASE[Valor],TB_BASE[Data Pagamento],A69,TB_BASE[Tipo],"Entrada")</f>
        <v>0</v>
      </c>
      <c r="D69" s="150">
        <f t="shared" si="1"/>
        <v>-58.96</v>
      </c>
      <c r="E69" s="148">
        <f t="shared" si="3"/>
        <v>15165.52</v>
      </c>
    </row>
    <row r="70" ht="22.5" customHeight="1">
      <c r="A70" s="149">
        <v>45994.0</v>
      </c>
      <c r="B70" s="150">
        <f>SUMIFS(TB_BASE[Valor],TB_BASE[Data Pagamento],A70,TB_BASE[Tipo],"Saída")</f>
        <v>0</v>
      </c>
      <c r="C70" s="150">
        <f>SUMIFS(TB_BASE[Valor],TB_BASE[Data Pagamento],A70,TB_BASE[Tipo],"Entrada")</f>
        <v>0</v>
      </c>
      <c r="D70" s="150">
        <f t="shared" si="1"/>
        <v>0</v>
      </c>
      <c r="E70" s="148">
        <f t="shared" si="3"/>
        <v>15165.52</v>
      </c>
    </row>
    <row r="71" ht="22.5" customHeight="1">
      <c r="A71" s="146">
        <v>45995.0</v>
      </c>
      <c r="B71" s="150">
        <f>SUMIFS(TB_BASE[Valor],TB_BASE[Data Pagamento],A71,TB_BASE[Tipo],"Saída")</f>
        <v>0</v>
      </c>
      <c r="C71" s="150">
        <f>SUMIFS(TB_BASE[Valor],TB_BASE[Data Pagamento],A71,TB_BASE[Tipo],"Entrada")</f>
        <v>0</v>
      </c>
      <c r="D71" s="150">
        <f t="shared" si="1"/>
        <v>0</v>
      </c>
      <c r="E71" s="148">
        <f t="shared" si="3"/>
        <v>15165.52</v>
      </c>
    </row>
    <row r="72" ht="22.5" customHeight="1">
      <c r="A72" s="146">
        <v>45996.0</v>
      </c>
      <c r="B72" s="150">
        <f>SUMIFS(TB_BASE[Valor],TB_BASE[Data Pagamento],A72,TB_BASE[Tipo],"Saída")</f>
        <v>-395.06</v>
      </c>
      <c r="C72" s="150">
        <f>SUMIFS(TB_BASE[Valor],TB_BASE[Data Pagamento],A72,TB_BASE[Tipo],"Entrada")</f>
        <v>19800</v>
      </c>
      <c r="D72" s="150">
        <f t="shared" si="1"/>
        <v>19404.94</v>
      </c>
      <c r="E72" s="148">
        <f t="shared" si="3"/>
        <v>34570.46</v>
      </c>
    </row>
    <row r="73" ht="22.5" customHeight="1">
      <c r="A73" s="149">
        <v>45997.0</v>
      </c>
      <c r="B73" s="150">
        <f>SUMIFS(TB_BASE[Valor],TB_BASE[Data Pagamento],A73,TB_BASE[Tipo],"Saída")</f>
        <v>0</v>
      </c>
      <c r="C73" s="150">
        <f>SUMIFS(TB_BASE[Valor],TB_BASE[Data Pagamento],A73,TB_BASE[Tipo],"Entrada")</f>
        <v>750</v>
      </c>
      <c r="D73" s="150">
        <f t="shared" si="1"/>
        <v>750</v>
      </c>
      <c r="E73" s="148">
        <f t="shared" si="3"/>
        <v>35320.46</v>
      </c>
    </row>
    <row r="74" ht="22.5" customHeight="1">
      <c r="A74" s="149">
        <v>45998.0</v>
      </c>
      <c r="B74" s="150">
        <f>SUMIFS(TB_BASE[Valor],TB_BASE[Data Pagamento],A74,TB_BASE[Tipo],"Saída")</f>
        <v>0</v>
      </c>
      <c r="C74" s="150">
        <f>SUMIFS(TB_BASE[Valor],TB_BASE[Data Pagamento],A74,TB_BASE[Tipo],"Entrada")</f>
        <v>0</v>
      </c>
      <c r="D74" s="150">
        <f t="shared" si="1"/>
        <v>0</v>
      </c>
      <c r="E74" s="148">
        <f t="shared" si="3"/>
        <v>35320.46</v>
      </c>
    </row>
    <row r="75" ht="22.5" customHeight="1">
      <c r="A75" s="149">
        <v>45999.0</v>
      </c>
      <c r="B75" s="150">
        <f>SUMIFS(TB_BASE[Valor],TB_BASE[Data Pagamento],A75,TB_BASE[Tipo],"Saída")</f>
        <v>0</v>
      </c>
      <c r="C75" s="150">
        <f>SUMIFS(TB_BASE[Valor],TB_BASE[Data Pagamento],A75,TB_BASE[Tipo],"Entrada")</f>
        <v>0</v>
      </c>
      <c r="D75" s="150">
        <f t="shared" si="1"/>
        <v>0</v>
      </c>
      <c r="E75" s="148">
        <f t="shared" si="3"/>
        <v>35320.46</v>
      </c>
    </row>
    <row r="76" ht="22.5" customHeight="1">
      <c r="A76" s="149">
        <v>46000.0</v>
      </c>
      <c r="B76" s="150">
        <f>SUMIFS(TB_BASE[Valor],TB_BASE[Data Pagamento],A76,TB_BASE[Tipo],"Saída")</f>
        <v>-4095.42</v>
      </c>
      <c r="C76" s="150">
        <f>SUMIFS(TB_BASE[Valor],TB_BASE[Data Pagamento],A76,TB_BASE[Tipo],"Entrada")</f>
        <v>0</v>
      </c>
      <c r="D76" s="150">
        <f t="shared" si="1"/>
        <v>-4095.42</v>
      </c>
      <c r="E76" s="148">
        <f t="shared" si="3"/>
        <v>31225.04</v>
      </c>
    </row>
    <row r="77" ht="22.5" customHeight="1">
      <c r="A77" s="149">
        <v>46001.0</v>
      </c>
      <c r="B77" s="150">
        <f>SUMIFS(TB_BASE[Valor],TB_BASE[Data Pagamento],A77,TB_BASE[Tipo],"Saída")</f>
        <v>-3063.17</v>
      </c>
      <c r="C77" s="150">
        <f>SUMIFS(TB_BASE[Valor],TB_BASE[Data Pagamento],A77,TB_BASE[Tipo],"Entrada")</f>
        <v>450</v>
      </c>
      <c r="D77" s="150">
        <f t="shared" si="1"/>
        <v>-2613.17</v>
      </c>
      <c r="E77" s="148">
        <f t="shared" si="3"/>
        <v>28611.87</v>
      </c>
    </row>
    <row r="78" ht="22.5" customHeight="1">
      <c r="A78" s="146">
        <v>46002.0</v>
      </c>
      <c r="B78" s="150">
        <f>SUMIFS(TB_BASE[Valor],TB_BASE[Data Pagamento],A78,TB_BASE[Tipo],"Saída")</f>
        <v>0</v>
      </c>
      <c r="C78" s="150">
        <f>SUMIFS(TB_BASE[Valor],TB_BASE[Data Pagamento],A78,TB_BASE[Tipo],"Entrada")</f>
        <v>0</v>
      </c>
      <c r="D78" s="150">
        <f t="shared" si="1"/>
        <v>0</v>
      </c>
      <c r="E78" s="148">
        <f t="shared" si="3"/>
        <v>28611.87</v>
      </c>
    </row>
    <row r="79" ht="22.5" customHeight="1">
      <c r="A79" s="149">
        <v>46003.0</v>
      </c>
      <c r="B79" s="150">
        <f>SUMIFS(TB_BASE[Valor],TB_BASE[Data Pagamento],A79,TB_BASE[Tipo],"Saída")</f>
        <v>0</v>
      </c>
      <c r="C79" s="150">
        <f>SUMIFS(TB_BASE[Valor],TB_BASE[Data Pagamento],A79,TB_BASE[Tipo],"Entrada")</f>
        <v>0</v>
      </c>
      <c r="D79" s="150">
        <f t="shared" si="1"/>
        <v>0</v>
      </c>
      <c r="E79" s="148">
        <f t="shared" si="3"/>
        <v>28611.87</v>
      </c>
    </row>
    <row r="80" ht="22.5" customHeight="1">
      <c r="A80" s="149">
        <v>46004.0</v>
      </c>
      <c r="B80" s="150">
        <f>SUMIFS(TB_BASE[Valor],TB_BASE[Data Pagamento],A80,TB_BASE[Tipo],"Saída")</f>
        <v>0</v>
      </c>
      <c r="C80" s="150">
        <f>SUMIFS(TB_BASE[Valor],TB_BASE[Data Pagamento],A80,TB_BASE[Tipo],"Entrada")</f>
        <v>750</v>
      </c>
      <c r="D80" s="150">
        <f t="shared" si="1"/>
        <v>750</v>
      </c>
      <c r="E80" s="148">
        <f t="shared" si="3"/>
        <v>29361.87</v>
      </c>
    </row>
    <row r="81" ht="22.5" customHeight="1">
      <c r="A81" s="149">
        <v>46005.0</v>
      </c>
      <c r="B81" s="150">
        <f>SUMIFS(TB_BASE[Valor],TB_BASE[Data Pagamento],A81,TB_BASE[Tipo],"Saída")</f>
        <v>0</v>
      </c>
      <c r="C81" s="150">
        <f>SUMIFS(TB_BASE[Valor],TB_BASE[Data Pagamento],A81,TB_BASE[Tipo],"Entrada")</f>
        <v>0</v>
      </c>
      <c r="D81" s="150">
        <f t="shared" si="1"/>
        <v>0</v>
      </c>
      <c r="E81" s="148">
        <f t="shared" si="3"/>
        <v>29361.87</v>
      </c>
    </row>
    <row r="82" ht="22.5" customHeight="1">
      <c r="A82" s="149">
        <v>46006.0</v>
      </c>
      <c r="B82" s="150">
        <f>SUMIFS(TB_BASE[Valor],TB_BASE[Data Pagamento],A82,TB_BASE[Tipo],"Saída")</f>
        <v>-254.81</v>
      </c>
      <c r="C82" s="150">
        <f>SUMIFS(TB_BASE[Valor],TB_BASE[Data Pagamento],A82,TB_BASE[Tipo],"Entrada")</f>
        <v>0</v>
      </c>
      <c r="D82" s="150">
        <f t="shared" si="1"/>
        <v>-254.81</v>
      </c>
      <c r="E82" s="148">
        <f t="shared" si="3"/>
        <v>29107.06</v>
      </c>
    </row>
    <row r="83" ht="22.5" customHeight="1">
      <c r="A83" s="149">
        <v>46007.0</v>
      </c>
      <c r="B83" s="150">
        <f>SUMIFS(TB_BASE[Valor],TB_BASE[Data Pagamento],A83,TB_BASE[Tipo],"Saída")</f>
        <v>0</v>
      </c>
      <c r="C83" s="150">
        <f>SUMIFS(TB_BASE[Valor],TB_BASE[Data Pagamento],A83,TB_BASE[Tipo],"Entrada")</f>
        <v>0</v>
      </c>
      <c r="D83" s="150">
        <f t="shared" si="1"/>
        <v>0</v>
      </c>
      <c r="E83" s="148">
        <f t="shared" si="3"/>
        <v>29107.06</v>
      </c>
    </row>
    <row r="84" ht="22.5" customHeight="1">
      <c r="A84" s="146">
        <v>46008.0</v>
      </c>
      <c r="B84" s="150">
        <f>SUMIFS(TB_BASE[Valor],TB_BASE[Data Pagamento],A84,TB_BASE[Tipo],"Saída")</f>
        <v>0</v>
      </c>
      <c r="C84" s="150">
        <f>SUMIFS(TB_BASE[Valor],TB_BASE[Data Pagamento],A84,TB_BASE[Tipo],"Entrada")</f>
        <v>0</v>
      </c>
      <c r="D84" s="150">
        <f t="shared" si="1"/>
        <v>0</v>
      </c>
      <c r="E84" s="148">
        <f t="shared" si="3"/>
        <v>29107.06</v>
      </c>
    </row>
    <row r="85" ht="22.5" customHeight="1">
      <c r="A85" s="149">
        <v>46009.0</v>
      </c>
      <c r="B85" s="150">
        <f>SUMIFS(TB_BASE[Valor],TB_BASE[Data Pagamento],A85,TB_BASE[Tipo],"Saída")</f>
        <v>0</v>
      </c>
      <c r="C85" s="150">
        <f>SUMIFS(TB_BASE[Valor],TB_BASE[Data Pagamento],A85,TB_BASE[Tipo],"Entrada")</f>
        <v>0</v>
      </c>
      <c r="D85" s="150">
        <f t="shared" si="1"/>
        <v>0</v>
      </c>
      <c r="E85" s="148">
        <f t="shared" si="3"/>
        <v>29107.06</v>
      </c>
    </row>
    <row r="86" ht="22.5" customHeight="1">
      <c r="A86" s="146">
        <v>46010.0</v>
      </c>
      <c r="B86" s="150">
        <f>SUMIFS(TB_BASE[Valor],TB_BASE[Data Pagamento],A86,TB_BASE[Tipo],"Saída")</f>
        <v>0</v>
      </c>
      <c r="C86" s="150">
        <f>SUMIFS(TB_BASE[Valor],TB_BASE[Data Pagamento],A86,TB_BASE[Tipo],"Entrada")</f>
        <v>0</v>
      </c>
      <c r="D86" s="150">
        <f t="shared" si="1"/>
        <v>0</v>
      </c>
      <c r="E86" s="148">
        <f t="shared" si="3"/>
        <v>29107.06</v>
      </c>
    </row>
    <row r="87" ht="22.5" customHeight="1">
      <c r="A87" s="146">
        <v>46011.0</v>
      </c>
      <c r="B87" s="150">
        <f>SUMIFS(TB_BASE[Valor],TB_BASE[Data Pagamento],A87,TB_BASE[Tipo],"Saída")</f>
        <v>0</v>
      </c>
      <c r="C87" s="150">
        <f>SUMIFS(TB_BASE[Valor],TB_BASE[Data Pagamento],A87,TB_BASE[Tipo],"Entrada")</f>
        <v>750</v>
      </c>
      <c r="D87" s="150">
        <f t="shared" si="1"/>
        <v>750</v>
      </c>
      <c r="E87" s="148">
        <f t="shared" si="3"/>
        <v>29857.06</v>
      </c>
    </row>
    <row r="88" ht="22.5" customHeight="1">
      <c r="A88" s="149">
        <v>46012.0</v>
      </c>
      <c r="B88" s="150">
        <f>SUMIFS(TB_BASE[Valor],TB_BASE[Data Pagamento],A88,TB_BASE[Tipo],"Saída")</f>
        <v>0</v>
      </c>
      <c r="C88" s="150">
        <f>SUMIFS(TB_BASE[Valor],TB_BASE[Data Pagamento],A88,TB_BASE[Tipo],"Entrada")</f>
        <v>0</v>
      </c>
      <c r="D88" s="150">
        <f t="shared" si="1"/>
        <v>0</v>
      </c>
      <c r="E88" s="148">
        <f t="shared" si="3"/>
        <v>29857.06</v>
      </c>
    </row>
    <row r="89" ht="22.5" customHeight="1">
      <c r="A89" s="149">
        <v>46013.0</v>
      </c>
      <c r="B89" s="150">
        <f>SUMIFS(TB_BASE[Valor],TB_BASE[Data Pagamento],A89,TB_BASE[Tipo],"Saída")</f>
        <v>0</v>
      </c>
      <c r="C89" s="150">
        <f>SUMIFS(TB_BASE[Valor],TB_BASE[Data Pagamento],A89,TB_BASE[Tipo],"Entrada")</f>
        <v>0</v>
      </c>
      <c r="D89" s="150">
        <f t="shared" si="1"/>
        <v>0</v>
      </c>
      <c r="E89" s="148">
        <f t="shared" si="3"/>
        <v>29857.06</v>
      </c>
    </row>
    <row r="90" ht="22.5" customHeight="1">
      <c r="A90" s="149">
        <v>46014.0</v>
      </c>
      <c r="B90" s="150">
        <f>SUMIFS(TB_BASE[Valor],TB_BASE[Data Pagamento],A90,TB_BASE[Tipo],"Saída")</f>
        <v>0</v>
      </c>
      <c r="C90" s="150">
        <f>SUMIFS(TB_BASE[Valor],TB_BASE[Data Pagamento],A90,TB_BASE[Tipo],"Entrada")</f>
        <v>0</v>
      </c>
      <c r="D90" s="150">
        <f t="shared" si="1"/>
        <v>0</v>
      </c>
      <c r="E90" s="148">
        <f t="shared" si="3"/>
        <v>29857.06</v>
      </c>
    </row>
    <row r="91" ht="22.5" customHeight="1">
      <c r="A91" s="149">
        <v>46015.0</v>
      </c>
      <c r="B91" s="150">
        <f>SUMIFS(TB_BASE[Valor],TB_BASE[Data Pagamento],A91,TB_BASE[Tipo],"Saída")</f>
        <v>0</v>
      </c>
      <c r="C91" s="150">
        <f>SUMIFS(TB_BASE[Valor],TB_BASE[Data Pagamento],A91,TB_BASE[Tipo],"Entrada")</f>
        <v>0</v>
      </c>
      <c r="D91" s="150">
        <f t="shared" si="1"/>
        <v>0</v>
      </c>
      <c r="E91" s="148">
        <f t="shared" si="3"/>
        <v>29857.06</v>
      </c>
    </row>
    <row r="92" ht="22.5" customHeight="1">
      <c r="A92" s="149">
        <v>46016.0</v>
      </c>
      <c r="B92" s="150">
        <f>SUMIFS(TB_BASE[Valor],TB_BASE[Data Pagamento],A92,TB_BASE[Tipo],"Saída")</f>
        <v>0</v>
      </c>
      <c r="C92" s="150">
        <f>SUMIFS(TB_BASE[Valor],TB_BASE[Data Pagamento],A92,TB_BASE[Tipo],"Entrada")</f>
        <v>0</v>
      </c>
      <c r="D92" s="150">
        <f t="shared" si="1"/>
        <v>0</v>
      </c>
      <c r="E92" s="148">
        <f t="shared" si="3"/>
        <v>29857.06</v>
      </c>
    </row>
    <row r="93" ht="22.5" customHeight="1">
      <c r="A93" s="146">
        <v>46017.0</v>
      </c>
      <c r="B93" s="150">
        <f>SUMIFS(TB_BASE[Valor],TB_BASE[Data Pagamento],A93,TB_BASE[Tipo],"Saída")</f>
        <v>0</v>
      </c>
      <c r="C93" s="150">
        <f>SUMIFS(TB_BASE[Valor],TB_BASE[Data Pagamento],A93,TB_BASE[Tipo],"Entrada")</f>
        <v>0</v>
      </c>
      <c r="D93" s="150">
        <f t="shared" si="1"/>
        <v>0</v>
      </c>
      <c r="E93" s="148">
        <f t="shared" si="3"/>
        <v>29857.06</v>
      </c>
    </row>
    <row r="94" ht="22.5" customHeight="1">
      <c r="A94" s="149">
        <v>46018.0</v>
      </c>
      <c r="B94" s="150">
        <f>SUMIFS(TB_BASE[Valor],TB_BASE[Data Pagamento],A94,TB_BASE[Tipo],"Saída")</f>
        <v>0</v>
      </c>
      <c r="C94" s="150">
        <f>SUMIFS(TB_BASE[Valor],TB_BASE[Data Pagamento],A94,TB_BASE[Tipo],"Entrada")</f>
        <v>750</v>
      </c>
      <c r="D94" s="150">
        <f t="shared" si="1"/>
        <v>750</v>
      </c>
      <c r="E94" s="148">
        <f t="shared" si="3"/>
        <v>30607.06</v>
      </c>
    </row>
    <row r="95" ht="22.5" customHeight="1">
      <c r="A95" s="149">
        <v>46019.0</v>
      </c>
      <c r="B95" s="150">
        <f>SUMIFS(TB_BASE[Valor],TB_BASE[Data Pagamento],A95,TB_BASE[Tipo],"Saída")</f>
        <v>0</v>
      </c>
      <c r="C95" s="150">
        <f>SUMIFS(TB_BASE[Valor],TB_BASE[Data Pagamento],A95,TB_BASE[Tipo],"Entrada")</f>
        <v>0</v>
      </c>
      <c r="D95" s="150">
        <f t="shared" si="1"/>
        <v>0</v>
      </c>
      <c r="E95" s="148">
        <f t="shared" si="3"/>
        <v>30607.06</v>
      </c>
    </row>
    <row r="96" ht="22.5" customHeight="1">
      <c r="A96" s="149">
        <v>46020.0</v>
      </c>
      <c r="B96" s="150">
        <f>SUMIFS(TB_BASE[Valor],TB_BASE[Data Pagamento],A96,TB_BASE[Tipo],"Saída")</f>
        <v>0</v>
      </c>
      <c r="C96" s="150">
        <f>SUMIFS(TB_BASE[Valor],TB_BASE[Data Pagamento],A96,TB_BASE[Tipo],"Entrada")</f>
        <v>0</v>
      </c>
      <c r="D96" s="150">
        <f t="shared" si="1"/>
        <v>0</v>
      </c>
      <c r="E96" s="148">
        <f t="shared" si="3"/>
        <v>30607.06</v>
      </c>
    </row>
    <row r="97" ht="22.5" customHeight="1">
      <c r="A97" s="146">
        <v>46021.0</v>
      </c>
      <c r="B97" s="150">
        <f>SUMIFS(TB_BASE[Valor],TB_BASE[Data Pagamento],A97,TB_BASE[Tipo],"Saída")</f>
        <v>0</v>
      </c>
      <c r="C97" s="150">
        <f>SUMIFS(TB_BASE[Valor],TB_BASE[Data Pagamento],A97,TB_BASE[Tipo],"Entrada")</f>
        <v>0</v>
      </c>
      <c r="D97" s="150">
        <f t="shared" si="1"/>
        <v>0</v>
      </c>
      <c r="E97" s="148">
        <f t="shared" si="3"/>
        <v>30607.06</v>
      </c>
    </row>
    <row r="98" ht="22.5" customHeight="1">
      <c r="A98" s="149">
        <v>46022.0</v>
      </c>
      <c r="B98" s="150">
        <f>SUMIFS(TB_BASE[Valor],TB_BASE[Data Pagamento],A98,TB_BASE[Tipo],"Saída")</f>
        <v>0</v>
      </c>
      <c r="C98" s="150">
        <f>SUMIFS(TB_BASE[Valor],TB_BASE[Data Pagamento],A98,TB_BASE[Tipo],"Entrada")</f>
        <v>0</v>
      </c>
      <c r="D98" s="150">
        <f t="shared" si="1"/>
        <v>0</v>
      </c>
      <c r="E98" s="148">
        <f t="shared" si="3"/>
        <v>30607.06</v>
      </c>
    </row>
    <row r="99" ht="22.5" customHeight="1">
      <c r="A99" s="149">
        <v>46023.0</v>
      </c>
      <c r="B99" s="150">
        <f>SUMIFS(TB_BASE[Valor],TB_BASE[Data Pagamento],A99,TB_BASE[Tipo],"Saída")</f>
        <v>-5365.9</v>
      </c>
      <c r="C99" s="150">
        <f>SUMIFS(TB_BASE[Valor],TB_BASE[Data Pagamento],A99,TB_BASE[Tipo],"Entrada")</f>
        <v>19000</v>
      </c>
      <c r="D99" s="150">
        <f t="shared" si="1"/>
        <v>13634.1</v>
      </c>
      <c r="E99" s="148">
        <f t="shared" si="3"/>
        <v>44241.16</v>
      </c>
    </row>
    <row r="100" ht="22.5" customHeight="1">
      <c r="A100" s="149">
        <v>46024.0</v>
      </c>
      <c r="B100" s="150">
        <f>SUMIFS(TB_BASE[Valor],TB_BASE[Data Pagamento],A100,TB_BASE[Tipo],"Saída")</f>
        <v>0</v>
      </c>
      <c r="C100" s="150">
        <f>SUMIFS(TB_BASE[Valor],TB_BASE[Data Pagamento],A100,TB_BASE[Tipo],"Entrada")</f>
        <v>750</v>
      </c>
      <c r="D100" s="150">
        <f t="shared" si="1"/>
        <v>750</v>
      </c>
      <c r="E100" s="148">
        <f t="shared" si="3"/>
        <v>44991.16</v>
      </c>
    </row>
    <row r="101" ht="22.5" customHeight="1">
      <c r="A101" s="149">
        <v>46025.0</v>
      </c>
      <c r="B101" s="150">
        <f>SUMIFS(TB_BASE[Valor],TB_BASE[Data Pagamento],A101,TB_BASE[Tipo],"Saída")</f>
        <v>0</v>
      </c>
      <c r="C101" s="150">
        <f>SUMIFS(TB_BASE[Valor],TB_BASE[Data Pagamento],A101,TB_BASE[Tipo],"Entrada")</f>
        <v>0</v>
      </c>
      <c r="D101" s="150">
        <f t="shared" si="1"/>
        <v>0</v>
      </c>
      <c r="E101" s="148">
        <f t="shared" si="3"/>
        <v>44991.16</v>
      </c>
    </row>
    <row r="102" ht="22.5" customHeight="1">
      <c r="A102" s="149">
        <v>46026.0</v>
      </c>
      <c r="B102" s="150">
        <f>SUMIFS(TB_BASE[Valor],TB_BASE[Data Pagamento],A102,TB_BASE[Tipo],"Saída")</f>
        <v>0</v>
      </c>
      <c r="C102" s="150">
        <f>SUMIFS(TB_BASE[Valor],TB_BASE[Data Pagamento],A102,TB_BASE[Tipo],"Entrada")</f>
        <v>0</v>
      </c>
      <c r="D102" s="150">
        <f t="shared" si="1"/>
        <v>0</v>
      </c>
      <c r="E102" s="148">
        <f t="shared" si="3"/>
        <v>44991.16</v>
      </c>
    </row>
    <row r="103" ht="22.5" customHeight="1">
      <c r="A103" s="146">
        <v>46027.0</v>
      </c>
      <c r="B103" s="150">
        <f>SUMIFS(TB_BASE[Valor],TB_BASE[Data Pagamento],A103,TB_BASE[Tipo],"Saída")</f>
        <v>-4904.52</v>
      </c>
      <c r="C103" s="150">
        <f>SUMIFS(TB_BASE[Valor],TB_BASE[Data Pagamento],A103,TB_BASE[Tipo],"Entrada")</f>
        <v>900</v>
      </c>
      <c r="D103" s="150">
        <f t="shared" si="1"/>
        <v>-4004.52</v>
      </c>
      <c r="E103" s="148">
        <f t="shared" si="3"/>
        <v>40986.64</v>
      </c>
    </row>
    <row r="104" ht="22.5" customHeight="1">
      <c r="A104" s="149">
        <v>46028.0</v>
      </c>
      <c r="B104" s="150">
        <f>SUMIFS(TB_BASE[Valor],TB_BASE[Data Pagamento],A104,TB_BASE[Tipo],"Saída")</f>
        <v>0</v>
      </c>
      <c r="C104" s="150">
        <f>SUMIFS(TB_BASE[Valor],TB_BASE[Data Pagamento],A104,TB_BASE[Tipo],"Entrada")</f>
        <v>0</v>
      </c>
      <c r="D104" s="150">
        <f t="shared" si="1"/>
        <v>0</v>
      </c>
      <c r="E104" s="148">
        <f t="shared" si="3"/>
        <v>40986.64</v>
      </c>
    </row>
    <row r="105" ht="22.5" customHeight="1">
      <c r="A105" s="149">
        <v>46029.0</v>
      </c>
      <c r="B105" s="150">
        <f>SUMIFS(TB_BASE[Valor],TB_BASE[Data Pagamento],A105,TB_BASE[Tipo],"Saída")</f>
        <v>0</v>
      </c>
      <c r="C105" s="150">
        <f>SUMIFS(TB_BASE[Valor],TB_BASE[Data Pagamento],A105,TB_BASE[Tipo],"Entrada")</f>
        <v>0</v>
      </c>
      <c r="D105" s="150">
        <f t="shared" si="1"/>
        <v>0</v>
      </c>
      <c r="E105" s="148">
        <f t="shared" si="3"/>
        <v>40986.64</v>
      </c>
    </row>
    <row r="106" ht="22.5" customHeight="1">
      <c r="A106" s="149">
        <v>46030.0</v>
      </c>
      <c r="B106" s="150">
        <f>SUMIFS(TB_BASE[Valor],TB_BASE[Data Pagamento],A106,TB_BASE[Tipo],"Saída")</f>
        <v>0</v>
      </c>
      <c r="C106" s="150">
        <f>SUMIFS(TB_BASE[Valor],TB_BASE[Data Pagamento],A106,TB_BASE[Tipo],"Entrada")</f>
        <v>0</v>
      </c>
      <c r="D106" s="150">
        <f t="shared" si="1"/>
        <v>0</v>
      </c>
      <c r="E106" s="148">
        <f t="shared" si="3"/>
        <v>40986.64</v>
      </c>
    </row>
    <row r="107" ht="22.5" customHeight="1">
      <c r="A107" s="149">
        <v>46031.0</v>
      </c>
      <c r="B107" s="150">
        <f>SUMIFS(TB_BASE[Valor],TB_BASE[Data Pagamento],A107,TB_BASE[Tipo],"Saída")</f>
        <v>0</v>
      </c>
      <c r="C107" s="150">
        <f>SUMIFS(TB_BASE[Valor],TB_BASE[Data Pagamento],A107,TB_BASE[Tipo],"Entrada")</f>
        <v>750</v>
      </c>
      <c r="D107" s="150">
        <f t="shared" si="1"/>
        <v>750</v>
      </c>
      <c r="E107" s="148">
        <f t="shared" si="3"/>
        <v>41736.64</v>
      </c>
    </row>
    <row r="108" ht="22.5" customHeight="1">
      <c r="A108" s="149">
        <v>46032.0</v>
      </c>
      <c r="B108" s="150">
        <f>SUMIFS(TB_BASE[Valor],TB_BASE[Data Pagamento],A108,TB_BASE[Tipo],"Saída")</f>
        <v>-3211.54</v>
      </c>
      <c r="C108" s="150">
        <f>SUMIFS(TB_BASE[Valor],TB_BASE[Data Pagamento],A108,TB_BASE[Tipo],"Entrada")</f>
        <v>450</v>
      </c>
      <c r="D108" s="150">
        <f t="shared" si="1"/>
        <v>-2761.54</v>
      </c>
      <c r="E108" s="148">
        <f t="shared" si="3"/>
        <v>38975.1</v>
      </c>
    </row>
    <row r="109" ht="22.5" customHeight="1">
      <c r="A109" s="149">
        <v>46033.0</v>
      </c>
      <c r="B109" s="150">
        <f>SUMIFS(TB_BASE[Valor],TB_BASE[Data Pagamento],A109,TB_BASE[Tipo],"Saída")</f>
        <v>0</v>
      </c>
      <c r="C109" s="150">
        <f>SUMIFS(TB_BASE[Valor],TB_BASE[Data Pagamento],A109,TB_BASE[Tipo],"Entrada")</f>
        <v>0</v>
      </c>
      <c r="D109" s="150">
        <f t="shared" si="1"/>
        <v>0</v>
      </c>
      <c r="E109" s="148">
        <f t="shared" si="3"/>
        <v>38975.1</v>
      </c>
    </row>
    <row r="110" ht="22.5" customHeight="1">
      <c r="A110" s="149">
        <v>46034.0</v>
      </c>
      <c r="B110" s="150">
        <f>SUMIFS(TB_BASE[Valor],TB_BASE[Data Pagamento],A110,TB_BASE[Tipo],"Saída")</f>
        <v>0</v>
      </c>
      <c r="C110" s="150">
        <f>SUMIFS(TB_BASE[Valor],TB_BASE[Data Pagamento],A110,TB_BASE[Tipo],"Entrada")</f>
        <v>0</v>
      </c>
      <c r="D110" s="150">
        <f t="shared" si="1"/>
        <v>0</v>
      </c>
      <c r="E110" s="148">
        <f t="shared" si="3"/>
        <v>38975.1</v>
      </c>
    </row>
    <row r="111" ht="22.5" customHeight="1">
      <c r="A111" s="149">
        <v>46035.0</v>
      </c>
      <c r="B111" s="150">
        <f>SUMIFS(TB_BASE[Valor],TB_BASE[Data Pagamento],A111,TB_BASE[Tipo],"Saída")</f>
        <v>0</v>
      </c>
      <c r="C111" s="150">
        <f>SUMIFS(TB_BASE[Valor],TB_BASE[Data Pagamento],A111,TB_BASE[Tipo],"Entrada")</f>
        <v>0</v>
      </c>
      <c r="D111" s="150">
        <f t="shared" si="1"/>
        <v>0</v>
      </c>
      <c r="E111" s="148">
        <f t="shared" si="3"/>
        <v>38975.1</v>
      </c>
    </row>
    <row r="112" ht="22.5" customHeight="1">
      <c r="A112" s="149">
        <v>46036.0</v>
      </c>
      <c r="B112" s="150">
        <f>SUMIFS(TB_BASE[Valor],TB_BASE[Data Pagamento],A112,TB_BASE[Tipo],"Saída")</f>
        <v>0</v>
      </c>
      <c r="C112" s="150">
        <f>SUMIFS(TB_BASE[Valor],TB_BASE[Data Pagamento],A112,TB_BASE[Tipo],"Entrada")</f>
        <v>0</v>
      </c>
      <c r="D112" s="150">
        <f t="shared" si="1"/>
        <v>0</v>
      </c>
      <c r="E112" s="148">
        <f t="shared" si="3"/>
        <v>38975.1</v>
      </c>
    </row>
    <row r="113" ht="22.5" customHeight="1">
      <c r="A113" s="149">
        <v>46037.0</v>
      </c>
      <c r="B113" s="150">
        <f>SUMIFS(TB_BASE[Valor],TB_BASE[Data Pagamento],A113,TB_BASE[Tipo],"Saída")</f>
        <v>-254.81</v>
      </c>
      <c r="C113" s="150">
        <f>SUMIFS(TB_BASE[Valor],TB_BASE[Data Pagamento],A113,TB_BASE[Tipo],"Entrada")</f>
        <v>0</v>
      </c>
      <c r="D113" s="150">
        <f t="shared" si="1"/>
        <v>-254.81</v>
      </c>
      <c r="E113" s="148">
        <f t="shared" si="3"/>
        <v>38720.29</v>
      </c>
    </row>
    <row r="114" ht="22.5" customHeight="1">
      <c r="A114" s="149">
        <v>46038.0</v>
      </c>
      <c r="B114" s="150">
        <f>SUMIFS(TB_BASE[Valor],TB_BASE[Data Pagamento],A114,TB_BASE[Tipo],"Saída")</f>
        <v>-236.75</v>
      </c>
      <c r="C114" s="150">
        <f>SUMIFS(TB_BASE[Valor],TB_BASE[Data Pagamento],A114,TB_BASE[Tipo],"Entrada")</f>
        <v>750</v>
      </c>
      <c r="D114" s="150">
        <f t="shared" si="1"/>
        <v>513.25</v>
      </c>
      <c r="E114" s="148">
        <f t="shared" si="3"/>
        <v>39233.54</v>
      </c>
    </row>
    <row r="115" ht="22.5" customHeight="1">
      <c r="A115" s="149">
        <v>46039.0</v>
      </c>
      <c r="B115" s="150">
        <f>SUMIFS(TB_BASE[Valor],TB_BASE[Data Pagamento],A115,TB_BASE[Tipo],"Saída")</f>
        <v>0</v>
      </c>
      <c r="C115" s="150">
        <f>SUMIFS(TB_BASE[Valor],TB_BASE[Data Pagamento],A115,TB_BASE[Tipo],"Entrada")</f>
        <v>0</v>
      </c>
      <c r="D115" s="150">
        <f t="shared" si="1"/>
        <v>0</v>
      </c>
      <c r="E115" s="148">
        <f t="shared" si="3"/>
        <v>39233.54</v>
      </c>
    </row>
    <row r="116" ht="22.5" customHeight="1">
      <c r="A116" s="149">
        <v>46040.0</v>
      </c>
      <c r="B116" s="150">
        <f>SUMIFS(TB_BASE[Valor],TB_BASE[Data Pagamento],A116,TB_BASE[Tipo],"Saída")</f>
        <v>0</v>
      </c>
      <c r="C116" s="150">
        <f>SUMIFS(TB_BASE[Valor],TB_BASE[Data Pagamento],A116,TB_BASE[Tipo],"Entrada")</f>
        <v>0</v>
      </c>
      <c r="D116" s="150">
        <f t="shared" si="1"/>
        <v>0</v>
      </c>
      <c r="E116" s="148">
        <f t="shared" si="3"/>
        <v>39233.54</v>
      </c>
    </row>
    <row r="117" ht="22.5" customHeight="1">
      <c r="A117" s="149">
        <v>46041.0</v>
      </c>
      <c r="B117" s="150">
        <f>SUMIFS(TB_BASE[Valor],TB_BASE[Data Pagamento],A117,TB_BASE[Tipo],"Saída")</f>
        <v>0</v>
      </c>
      <c r="C117" s="150">
        <f>SUMIFS(TB_BASE[Valor],TB_BASE[Data Pagamento],A117,TB_BASE[Tipo],"Entrada")</f>
        <v>0</v>
      </c>
      <c r="D117" s="150">
        <f t="shared" si="1"/>
        <v>0</v>
      </c>
      <c r="E117" s="148">
        <f t="shared" si="3"/>
        <v>39233.54</v>
      </c>
    </row>
    <row r="118" ht="22.5" customHeight="1">
      <c r="A118" s="149">
        <v>46042.0</v>
      </c>
      <c r="B118" s="150">
        <f>SUMIFS(TB_BASE[Valor],TB_BASE[Data Pagamento],A118,TB_BASE[Tipo],"Saída")</f>
        <v>0</v>
      </c>
      <c r="C118" s="150">
        <f>SUMIFS(TB_BASE[Valor],TB_BASE[Data Pagamento],A118,TB_BASE[Tipo],"Entrada")</f>
        <v>0</v>
      </c>
      <c r="D118" s="150">
        <f t="shared" si="1"/>
        <v>0</v>
      </c>
      <c r="E118" s="148">
        <f t="shared" si="3"/>
        <v>39233.54</v>
      </c>
    </row>
    <row r="119" ht="22.5" customHeight="1">
      <c r="A119" s="149">
        <v>46043.0</v>
      </c>
      <c r="B119" s="150">
        <f>SUMIFS(TB_BASE[Valor],TB_BASE[Data Pagamento],A119,TB_BASE[Tipo],"Saída")</f>
        <v>0</v>
      </c>
      <c r="C119" s="150">
        <f>SUMIFS(TB_BASE[Valor],TB_BASE[Data Pagamento],A119,TB_BASE[Tipo],"Entrada")</f>
        <v>0</v>
      </c>
      <c r="D119" s="150">
        <f t="shared" si="1"/>
        <v>0</v>
      </c>
      <c r="E119" s="148">
        <f t="shared" si="3"/>
        <v>39233.54</v>
      </c>
    </row>
    <row r="120" ht="22.5" customHeight="1">
      <c r="A120" s="149">
        <v>46044.0</v>
      </c>
      <c r="B120" s="150">
        <f>SUMIFS(TB_BASE[Valor],TB_BASE[Data Pagamento],A120,TB_BASE[Tipo],"Saída")</f>
        <v>0</v>
      </c>
      <c r="C120" s="150">
        <f>SUMIFS(TB_BASE[Valor],TB_BASE[Data Pagamento],A120,TB_BASE[Tipo],"Entrada")</f>
        <v>0</v>
      </c>
      <c r="D120" s="150">
        <f t="shared" si="1"/>
        <v>0</v>
      </c>
      <c r="E120" s="148">
        <f t="shared" si="3"/>
        <v>39233.54</v>
      </c>
    </row>
    <row r="121" ht="22.5" customHeight="1">
      <c r="A121" s="149">
        <v>46045.0</v>
      </c>
      <c r="B121" s="150">
        <f>SUMIFS(TB_BASE[Valor],TB_BASE[Data Pagamento],A121,TB_BASE[Tipo],"Saída")</f>
        <v>0</v>
      </c>
      <c r="C121" s="150">
        <f>SUMIFS(TB_BASE[Valor],TB_BASE[Data Pagamento],A121,TB_BASE[Tipo],"Entrada")</f>
        <v>750</v>
      </c>
      <c r="D121" s="150">
        <f t="shared" si="1"/>
        <v>750</v>
      </c>
      <c r="E121" s="148">
        <f t="shared" si="3"/>
        <v>39983.54</v>
      </c>
    </row>
    <row r="122" ht="22.5" customHeight="1">
      <c r="A122" s="149">
        <v>46046.0</v>
      </c>
      <c r="B122" s="150">
        <f>SUMIFS(TB_BASE[Valor],TB_BASE[Data Pagamento],A122,TB_BASE[Tipo],"Saída")</f>
        <v>0</v>
      </c>
      <c r="C122" s="150">
        <f>SUMIFS(TB_BASE[Valor],TB_BASE[Data Pagamento],A122,TB_BASE[Tipo],"Entrada")</f>
        <v>0</v>
      </c>
      <c r="D122" s="150">
        <f t="shared" si="1"/>
        <v>0</v>
      </c>
      <c r="E122" s="148">
        <f t="shared" si="3"/>
        <v>39983.54</v>
      </c>
    </row>
    <row r="123" ht="22.5" customHeight="1">
      <c r="A123" s="149">
        <v>46047.0</v>
      </c>
      <c r="B123" s="150">
        <f>SUMIFS(TB_BASE[Valor],TB_BASE[Data Pagamento],A123,TB_BASE[Tipo],"Saída")</f>
        <v>0</v>
      </c>
      <c r="C123" s="150">
        <f>SUMIFS(TB_BASE[Valor],TB_BASE[Data Pagamento],A123,TB_BASE[Tipo],"Entrada")</f>
        <v>0</v>
      </c>
      <c r="D123" s="150">
        <f t="shared" si="1"/>
        <v>0</v>
      </c>
      <c r="E123" s="148">
        <f t="shared" si="3"/>
        <v>39983.54</v>
      </c>
    </row>
    <row r="124" ht="22.5" customHeight="1">
      <c r="A124" s="149">
        <v>46048.0</v>
      </c>
      <c r="B124" s="150">
        <f>SUMIFS(TB_BASE[Valor],TB_BASE[Data Pagamento],A124,TB_BASE[Tipo],"Saída")</f>
        <v>0</v>
      </c>
      <c r="C124" s="150">
        <f>SUMIFS(TB_BASE[Valor],TB_BASE[Data Pagamento],A124,TB_BASE[Tipo],"Entrada")</f>
        <v>0</v>
      </c>
      <c r="D124" s="150">
        <f t="shared" si="1"/>
        <v>0</v>
      </c>
      <c r="E124" s="148">
        <f t="shared" si="3"/>
        <v>39983.54</v>
      </c>
    </row>
    <row r="125" ht="22.5" customHeight="1">
      <c r="A125" s="149">
        <v>46049.0</v>
      </c>
      <c r="B125" s="150">
        <f>SUMIFS(TB_BASE[Valor],TB_BASE[Data Pagamento],A125,TB_BASE[Tipo],"Saída")</f>
        <v>0</v>
      </c>
      <c r="C125" s="150">
        <f>SUMIFS(TB_BASE[Valor],TB_BASE[Data Pagamento],A125,TB_BASE[Tipo],"Entrada")</f>
        <v>0</v>
      </c>
      <c r="D125" s="150">
        <f t="shared" si="1"/>
        <v>0</v>
      </c>
      <c r="E125" s="148">
        <f t="shared" si="3"/>
        <v>39983.54</v>
      </c>
    </row>
    <row r="126" ht="22.5" customHeight="1">
      <c r="A126" s="149">
        <v>46050.0</v>
      </c>
      <c r="B126" s="150">
        <f>SUMIFS(TB_BASE[Valor],TB_BASE[Data Pagamento],A126,TB_BASE[Tipo],"Saída")</f>
        <v>0</v>
      </c>
      <c r="C126" s="150">
        <f>SUMIFS(TB_BASE[Valor],TB_BASE[Data Pagamento],A126,TB_BASE[Tipo],"Entrada")</f>
        <v>0</v>
      </c>
      <c r="D126" s="150">
        <f t="shared" si="1"/>
        <v>0</v>
      </c>
      <c r="E126" s="148">
        <f t="shared" si="3"/>
        <v>39983.54</v>
      </c>
    </row>
    <row r="127" ht="22.5" customHeight="1">
      <c r="A127" s="149">
        <v>46051.0</v>
      </c>
      <c r="B127" s="150">
        <f>SUMIFS(TB_BASE[Valor],TB_BASE[Data Pagamento],A127,TB_BASE[Tipo],"Saída")</f>
        <v>0</v>
      </c>
      <c r="C127" s="150">
        <f>SUMIFS(TB_BASE[Valor],TB_BASE[Data Pagamento],A127,TB_BASE[Tipo],"Entrada")</f>
        <v>0</v>
      </c>
      <c r="D127" s="150">
        <f t="shared" si="1"/>
        <v>0</v>
      </c>
      <c r="E127" s="148">
        <f t="shared" si="3"/>
        <v>39983.54</v>
      </c>
    </row>
    <row r="128" ht="22.5" customHeight="1">
      <c r="A128" s="149">
        <v>46052.0</v>
      </c>
      <c r="B128" s="150">
        <f>SUMIFS(TB_BASE[Valor],TB_BASE[Data Pagamento],A128,TB_BASE[Tipo],"Saída")</f>
        <v>0</v>
      </c>
      <c r="C128" s="150">
        <f>SUMIFS(TB_BASE[Valor],TB_BASE[Data Pagamento],A128,TB_BASE[Tipo],"Entrada")</f>
        <v>750</v>
      </c>
      <c r="D128" s="150">
        <f t="shared" si="1"/>
        <v>750</v>
      </c>
      <c r="E128" s="148">
        <f t="shared" si="3"/>
        <v>40733.54</v>
      </c>
    </row>
    <row r="129" ht="22.5" customHeight="1">
      <c r="A129" s="149">
        <v>46053.0</v>
      </c>
      <c r="B129" s="150">
        <f>SUMIFS(TB_BASE[Valor],TB_BASE[Data Pagamento],A129,TB_BASE[Tipo],"Saída")</f>
        <v>0</v>
      </c>
      <c r="C129" s="150">
        <f>SUMIFS(TB_BASE[Valor],TB_BASE[Data Pagamento],A129,TB_BASE[Tipo],"Entrada")</f>
        <v>0</v>
      </c>
      <c r="D129" s="150">
        <f t="shared" si="1"/>
        <v>0</v>
      </c>
      <c r="E129" s="148">
        <f t="shared" si="3"/>
        <v>40733.54</v>
      </c>
    </row>
    <row r="130" ht="22.5" customHeight="1">
      <c r="A130" s="149">
        <v>46054.0</v>
      </c>
      <c r="B130" s="150">
        <f>SUMIFS(TB_BASE[Valor],TB_BASE[Data Pagamento],A130,TB_BASE[Tipo],"Saída")</f>
        <v>-5174</v>
      </c>
      <c r="C130" s="150">
        <f>SUMIFS(TB_BASE[Valor],TB_BASE[Data Pagamento],A130,TB_BASE[Tipo],"Entrada")</f>
        <v>0</v>
      </c>
      <c r="D130" s="150">
        <f t="shared" si="1"/>
        <v>-5174</v>
      </c>
      <c r="E130" s="148">
        <f t="shared" si="3"/>
        <v>35559.54</v>
      </c>
    </row>
    <row r="131" ht="22.5" customHeight="1">
      <c r="A131" s="149">
        <v>46055.0</v>
      </c>
      <c r="B131" s="150">
        <f>SUMIFS(TB_BASE[Valor],TB_BASE[Data Pagamento],A131,TB_BASE[Tipo],"Saída")</f>
        <v>0</v>
      </c>
      <c r="C131" s="150">
        <f>SUMIFS(TB_BASE[Valor],TB_BASE[Data Pagamento],A131,TB_BASE[Tipo],"Entrada")</f>
        <v>0</v>
      </c>
      <c r="D131" s="150">
        <f t="shared" si="1"/>
        <v>0</v>
      </c>
      <c r="E131" s="148">
        <f t="shared" si="3"/>
        <v>35559.54</v>
      </c>
    </row>
    <row r="132" ht="22.5" customHeight="1">
      <c r="A132" s="149">
        <v>46056.0</v>
      </c>
      <c r="B132" s="150">
        <f>SUMIFS(TB_BASE[Valor],TB_BASE[Data Pagamento],A132,TB_BASE[Tipo],"Saída")</f>
        <v>0</v>
      </c>
      <c r="C132" s="150">
        <f>SUMIFS(TB_BASE[Valor],TB_BASE[Data Pagamento],A132,TB_BASE[Tipo],"Entrada")</f>
        <v>0</v>
      </c>
      <c r="D132" s="150">
        <f t="shared" si="1"/>
        <v>0</v>
      </c>
      <c r="E132" s="148">
        <f t="shared" si="3"/>
        <v>35559.54</v>
      </c>
    </row>
    <row r="133" ht="22.5" customHeight="1">
      <c r="A133" s="149">
        <v>46057.0</v>
      </c>
      <c r="B133" s="150">
        <f>SUMIFS(TB_BASE[Valor],TB_BASE[Data Pagamento],A133,TB_BASE[Tipo],"Saída")</f>
        <v>0</v>
      </c>
      <c r="C133" s="150">
        <f>SUMIFS(TB_BASE[Valor],TB_BASE[Data Pagamento],A133,TB_BASE[Tipo],"Entrada")</f>
        <v>0</v>
      </c>
      <c r="D133" s="150">
        <f t="shared" si="1"/>
        <v>0</v>
      </c>
      <c r="E133" s="148">
        <f t="shared" si="3"/>
        <v>35559.54</v>
      </c>
    </row>
    <row r="134" ht="22.5" customHeight="1">
      <c r="A134" s="149">
        <v>46058.0</v>
      </c>
      <c r="B134" s="150">
        <f>SUMIFS(TB_BASE[Valor],TB_BASE[Data Pagamento],A134,TB_BASE[Tipo],"Saída")</f>
        <v>-929.98</v>
      </c>
      <c r="C134" s="150">
        <f>SUMIFS(TB_BASE[Valor],TB_BASE[Data Pagamento],A134,TB_BASE[Tipo],"Entrada")</f>
        <v>19800</v>
      </c>
      <c r="D134" s="150">
        <f t="shared" si="1"/>
        <v>18870.02</v>
      </c>
      <c r="E134" s="148">
        <f t="shared" si="3"/>
        <v>54429.56</v>
      </c>
    </row>
    <row r="135" ht="22.5" customHeight="1">
      <c r="A135" s="149">
        <v>46059.0</v>
      </c>
      <c r="B135" s="150">
        <f>SUMIFS(TB_BASE[Valor],TB_BASE[Data Pagamento],A135,TB_BASE[Tipo],"Saída")</f>
        <v>0</v>
      </c>
      <c r="C135" s="150">
        <f>SUMIFS(TB_BASE[Valor],TB_BASE[Data Pagamento],A135,TB_BASE[Tipo],"Entrada")</f>
        <v>0</v>
      </c>
      <c r="D135" s="150">
        <f t="shared" si="1"/>
        <v>0</v>
      </c>
      <c r="E135" s="148">
        <f t="shared" si="3"/>
        <v>54429.56</v>
      </c>
    </row>
    <row r="136" ht="22.5" customHeight="1">
      <c r="A136" s="149">
        <v>46060.0</v>
      </c>
      <c r="B136" s="150">
        <f>SUMIFS(TB_BASE[Valor],TB_BASE[Data Pagamento],A136,TB_BASE[Tipo],"Saída")</f>
        <v>0</v>
      </c>
      <c r="C136" s="150">
        <f>SUMIFS(TB_BASE[Valor],TB_BASE[Data Pagamento],A136,TB_BASE[Tipo],"Entrada")</f>
        <v>0</v>
      </c>
      <c r="D136" s="150">
        <f t="shared" si="1"/>
        <v>0</v>
      </c>
      <c r="E136" s="148">
        <f t="shared" si="3"/>
        <v>54429.56</v>
      </c>
    </row>
    <row r="137" ht="22.5" customHeight="1">
      <c r="A137" s="149">
        <v>46061.0</v>
      </c>
      <c r="B137" s="150">
        <f>SUMIFS(TB_BASE[Valor],TB_BASE[Data Pagamento],A137,TB_BASE[Tipo],"Saída")</f>
        <v>0</v>
      </c>
      <c r="C137" s="150">
        <f>SUMIFS(TB_BASE[Valor],TB_BASE[Data Pagamento],A137,TB_BASE[Tipo],"Entrada")</f>
        <v>0</v>
      </c>
      <c r="D137" s="150">
        <f t="shared" si="1"/>
        <v>0</v>
      </c>
      <c r="E137" s="148">
        <f t="shared" si="3"/>
        <v>54429.56</v>
      </c>
    </row>
    <row r="138" ht="22.5" customHeight="1">
      <c r="A138" s="149">
        <v>46062.0</v>
      </c>
      <c r="B138" s="150">
        <f>SUMIFS(TB_BASE[Valor],TB_BASE[Data Pagamento],A138,TB_BASE[Tipo],"Saída")</f>
        <v>0</v>
      </c>
      <c r="C138" s="150">
        <f>SUMIFS(TB_BASE[Valor],TB_BASE[Data Pagamento],A138,TB_BASE[Tipo],"Entrada")</f>
        <v>0</v>
      </c>
      <c r="D138" s="150">
        <f t="shared" si="1"/>
        <v>0</v>
      </c>
      <c r="E138" s="148">
        <f t="shared" si="3"/>
        <v>54429.56</v>
      </c>
    </row>
    <row r="139" ht="22.5" customHeight="1">
      <c r="A139" s="149">
        <v>46063.0</v>
      </c>
      <c r="B139" s="150">
        <f>SUMIFS(TB_BASE[Valor],TB_BASE[Data Pagamento],A139,TB_BASE[Tipo],"Saída")</f>
        <v>-3211.54</v>
      </c>
      <c r="C139" s="150">
        <f>SUMIFS(TB_BASE[Valor],TB_BASE[Data Pagamento],A139,TB_BASE[Tipo],"Entrada")</f>
        <v>450</v>
      </c>
      <c r="D139" s="150">
        <f t="shared" si="1"/>
        <v>-2761.54</v>
      </c>
      <c r="E139" s="148">
        <f t="shared" si="3"/>
        <v>51668.02</v>
      </c>
    </row>
    <row r="140" ht="22.5" customHeight="1">
      <c r="A140" s="149">
        <v>46064.0</v>
      </c>
      <c r="B140" s="150">
        <f>SUMIFS(TB_BASE[Valor],TB_BASE[Data Pagamento],A140,TB_BASE[Tipo],"Saída")</f>
        <v>0</v>
      </c>
      <c r="C140" s="150">
        <f>SUMIFS(TB_BASE[Valor],TB_BASE[Data Pagamento],A140,TB_BASE[Tipo],"Entrada")</f>
        <v>0</v>
      </c>
      <c r="D140" s="150">
        <f t="shared" si="1"/>
        <v>0</v>
      </c>
      <c r="E140" s="148">
        <f t="shared" si="3"/>
        <v>51668.02</v>
      </c>
    </row>
    <row r="141" ht="22.5" customHeight="1">
      <c r="A141" s="149">
        <v>46065.0</v>
      </c>
      <c r="B141" s="150">
        <f>SUMIFS(TB_BASE[Valor],TB_BASE[Data Pagamento],A141,TB_BASE[Tipo],"Saída")</f>
        <v>0</v>
      </c>
      <c r="C141" s="150">
        <f>SUMIFS(TB_BASE[Valor],TB_BASE[Data Pagamento],A141,TB_BASE[Tipo],"Entrada")</f>
        <v>0</v>
      </c>
      <c r="D141" s="150">
        <f t="shared" si="1"/>
        <v>0</v>
      </c>
      <c r="E141" s="148">
        <f t="shared" si="3"/>
        <v>51668.02</v>
      </c>
    </row>
    <row r="142" ht="22.5" customHeight="1">
      <c r="A142" s="149">
        <v>46066.0</v>
      </c>
      <c r="B142" s="150">
        <f>SUMIFS(TB_BASE[Valor],TB_BASE[Data Pagamento],A142,TB_BASE[Tipo],"Saída")</f>
        <v>0</v>
      </c>
      <c r="C142" s="150">
        <f>SUMIFS(TB_BASE[Valor],TB_BASE[Data Pagamento],A142,TB_BASE[Tipo],"Entrada")</f>
        <v>0</v>
      </c>
      <c r="D142" s="150">
        <f t="shared" si="1"/>
        <v>0</v>
      </c>
      <c r="E142" s="148">
        <f t="shared" si="3"/>
        <v>51668.02</v>
      </c>
    </row>
    <row r="143" ht="22.5" customHeight="1">
      <c r="A143" s="149">
        <v>46067.0</v>
      </c>
      <c r="B143" s="150">
        <f>SUMIFS(TB_BASE[Valor],TB_BASE[Data Pagamento],A143,TB_BASE[Tipo],"Saída")</f>
        <v>0</v>
      </c>
      <c r="C143" s="150">
        <f>SUMIFS(TB_BASE[Valor],TB_BASE[Data Pagamento],A143,TB_BASE[Tipo],"Entrada")</f>
        <v>0</v>
      </c>
      <c r="D143" s="150">
        <f t="shared" si="1"/>
        <v>0</v>
      </c>
      <c r="E143" s="148">
        <f t="shared" si="3"/>
        <v>51668.02</v>
      </c>
    </row>
    <row r="144" ht="22.5" customHeight="1">
      <c r="A144" s="149">
        <v>46068.0</v>
      </c>
      <c r="B144" s="150">
        <f>SUMIFS(TB_BASE[Valor],TB_BASE[Data Pagamento],A144,TB_BASE[Tipo],"Saída")</f>
        <v>0</v>
      </c>
      <c r="C144" s="150">
        <f>SUMIFS(TB_BASE[Valor],TB_BASE[Data Pagamento],A144,TB_BASE[Tipo],"Entrada")</f>
        <v>0</v>
      </c>
      <c r="D144" s="150">
        <f t="shared" si="1"/>
        <v>0</v>
      </c>
      <c r="E144" s="148">
        <f t="shared" si="3"/>
        <v>51668.02</v>
      </c>
    </row>
    <row r="145" ht="22.5" customHeight="1">
      <c r="A145" s="149">
        <v>46069.0</v>
      </c>
      <c r="B145" s="150">
        <f>SUMIFS(TB_BASE[Valor],TB_BASE[Data Pagamento],A145,TB_BASE[Tipo],"Saída")</f>
        <v>-236.75</v>
      </c>
      <c r="C145" s="150">
        <f>SUMIFS(TB_BASE[Valor],TB_BASE[Data Pagamento],A145,TB_BASE[Tipo],"Entrada")</f>
        <v>0</v>
      </c>
      <c r="D145" s="150">
        <f t="shared" si="1"/>
        <v>-236.75</v>
      </c>
      <c r="E145" s="148">
        <f t="shared" si="3"/>
        <v>51431.27</v>
      </c>
    </row>
    <row r="146" ht="22.5" customHeight="1">
      <c r="A146" s="149">
        <v>46070.0</v>
      </c>
      <c r="B146" s="150">
        <f>SUMIFS(TB_BASE[Valor],TB_BASE[Data Pagamento],A146,TB_BASE[Tipo],"Saída")</f>
        <v>0</v>
      </c>
      <c r="C146" s="150">
        <f>SUMIFS(TB_BASE[Valor],TB_BASE[Data Pagamento],A146,TB_BASE[Tipo],"Entrada")</f>
        <v>0</v>
      </c>
      <c r="D146" s="150">
        <f t="shared" si="1"/>
        <v>0</v>
      </c>
      <c r="E146" s="148">
        <f t="shared" si="3"/>
        <v>51431.27</v>
      </c>
    </row>
    <row r="147" ht="22.5" customHeight="1">
      <c r="A147" s="149">
        <v>46071.0</v>
      </c>
      <c r="B147" s="150">
        <f>SUMIFS(TB_BASE[Valor],TB_BASE[Data Pagamento],A147,TB_BASE[Tipo],"Saída")</f>
        <v>0</v>
      </c>
      <c r="C147" s="150">
        <f>SUMIFS(TB_BASE[Valor],TB_BASE[Data Pagamento],A147,TB_BASE[Tipo],"Entrada")</f>
        <v>0</v>
      </c>
      <c r="D147" s="150">
        <f t="shared" si="1"/>
        <v>0</v>
      </c>
      <c r="E147" s="148">
        <f t="shared" si="3"/>
        <v>51431.27</v>
      </c>
    </row>
    <row r="148" ht="22.5" customHeight="1">
      <c r="A148" s="149">
        <v>46072.0</v>
      </c>
      <c r="B148" s="150">
        <f>SUMIFS(TB_BASE[Valor],TB_BASE[Data Pagamento],A148,TB_BASE[Tipo],"Saída")</f>
        <v>0</v>
      </c>
      <c r="C148" s="150">
        <f>SUMIFS(TB_BASE[Valor],TB_BASE[Data Pagamento],A148,TB_BASE[Tipo],"Entrada")</f>
        <v>0</v>
      </c>
      <c r="D148" s="150">
        <f t="shared" si="1"/>
        <v>0</v>
      </c>
      <c r="E148" s="148">
        <f t="shared" si="3"/>
        <v>51431.27</v>
      </c>
    </row>
    <row r="149" ht="22.5" customHeight="1">
      <c r="A149" s="149">
        <v>46073.0</v>
      </c>
      <c r="B149" s="150">
        <f>SUMIFS(TB_BASE[Valor],TB_BASE[Data Pagamento],A149,TB_BASE[Tipo],"Saída")</f>
        <v>0</v>
      </c>
      <c r="C149" s="150">
        <f>SUMIFS(TB_BASE[Valor],TB_BASE[Data Pagamento],A149,TB_BASE[Tipo],"Entrada")</f>
        <v>0</v>
      </c>
      <c r="D149" s="150">
        <f t="shared" si="1"/>
        <v>0</v>
      </c>
      <c r="E149" s="148">
        <f t="shared" si="3"/>
        <v>51431.27</v>
      </c>
    </row>
    <row r="150" ht="22.5" customHeight="1">
      <c r="A150" s="149">
        <v>46074.0</v>
      </c>
      <c r="B150" s="150">
        <f>SUMIFS(TB_BASE[Valor],TB_BASE[Data Pagamento],A150,TB_BASE[Tipo],"Saída")</f>
        <v>0</v>
      </c>
      <c r="C150" s="150">
        <f>SUMIFS(TB_BASE[Valor],TB_BASE[Data Pagamento],A150,TB_BASE[Tipo],"Entrada")</f>
        <v>0</v>
      </c>
      <c r="D150" s="150">
        <f t="shared" si="1"/>
        <v>0</v>
      </c>
      <c r="E150" s="148">
        <f t="shared" si="3"/>
        <v>51431.27</v>
      </c>
    </row>
    <row r="151" ht="22.5" customHeight="1">
      <c r="A151" s="149">
        <v>46075.0</v>
      </c>
      <c r="B151" s="150">
        <f>SUMIFS(TB_BASE[Valor],TB_BASE[Data Pagamento],A151,TB_BASE[Tipo],"Saída")</f>
        <v>0</v>
      </c>
      <c r="C151" s="150">
        <f>SUMIFS(TB_BASE[Valor],TB_BASE[Data Pagamento],A151,TB_BASE[Tipo],"Entrada")</f>
        <v>0</v>
      </c>
      <c r="D151" s="150">
        <f t="shared" si="1"/>
        <v>0</v>
      </c>
      <c r="E151" s="148">
        <f t="shared" si="3"/>
        <v>51431.27</v>
      </c>
    </row>
    <row r="152" ht="22.5" customHeight="1">
      <c r="A152" s="149">
        <v>46076.0</v>
      </c>
      <c r="B152" s="150">
        <f>SUMIFS(TB_BASE[Valor],TB_BASE[Data Pagamento],A152,TB_BASE[Tipo],"Saída")</f>
        <v>0</v>
      </c>
      <c r="C152" s="150">
        <f>SUMIFS(TB_BASE[Valor],TB_BASE[Data Pagamento],A152,TB_BASE[Tipo],"Entrada")</f>
        <v>0</v>
      </c>
      <c r="D152" s="150">
        <f t="shared" si="1"/>
        <v>0</v>
      </c>
      <c r="E152" s="148">
        <f t="shared" si="3"/>
        <v>51431.27</v>
      </c>
    </row>
    <row r="153" ht="22.5" customHeight="1">
      <c r="A153" s="149">
        <v>46077.0</v>
      </c>
      <c r="B153" s="150">
        <f>SUMIFS(TB_BASE[Valor],TB_BASE[Data Pagamento],A153,TB_BASE[Tipo],"Saída")</f>
        <v>0</v>
      </c>
      <c r="C153" s="150">
        <f>SUMIFS(TB_BASE[Valor],TB_BASE[Data Pagamento],A153,TB_BASE[Tipo],"Entrada")</f>
        <v>0</v>
      </c>
      <c r="D153" s="150">
        <f t="shared" si="1"/>
        <v>0</v>
      </c>
      <c r="E153" s="148">
        <f t="shared" si="3"/>
        <v>51431.27</v>
      </c>
    </row>
    <row r="154" ht="22.5" customHeight="1">
      <c r="A154" s="149">
        <v>46078.0</v>
      </c>
      <c r="B154" s="150">
        <f>SUMIFS(TB_BASE[Valor],TB_BASE[Data Pagamento],A154,TB_BASE[Tipo],"Saída")</f>
        <v>0</v>
      </c>
      <c r="C154" s="150">
        <f>SUMIFS(TB_BASE[Valor],TB_BASE[Data Pagamento],A154,TB_BASE[Tipo],"Entrada")</f>
        <v>0</v>
      </c>
      <c r="D154" s="150">
        <f t="shared" si="1"/>
        <v>0</v>
      </c>
      <c r="E154" s="148">
        <f t="shared" si="3"/>
        <v>51431.27</v>
      </c>
    </row>
    <row r="155" ht="22.5" customHeight="1">
      <c r="A155" s="149">
        <v>46079.0</v>
      </c>
      <c r="B155" s="150">
        <f>SUMIFS(TB_BASE[Valor],TB_BASE[Data Pagamento],A155,TB_BASE[Tipo],"Saída")</f>
        <v>0</v>
      </c>
      <c r="C155" s="150">
        <f>SUMIFS(TB_BASE[Valor],TB_BASE[Data Pagamento],A155,TB_BASE[Tipo],"Entrada")</f>
        <v>0</v>
      </c>
      <c r="D155" s="150">
        <f t="shared" si="1"/>
        <v>0</v>
      </c>
      <c r="E155" s="148">
        <f t="shared" si="3"/>
        <v>51431.27</v>
      </c>
    </row>
    <row r="156" ht="22.5" customHeight="1">
      <c r="A156" s="149">
        <v>46080.0</v>
      </c>
      <c r="B156" s="150">
        <f>SUMIFS(TB_BASE[Valor],TB_BASE[Data Pagamento],A156,TB_BASE[Tipo],"Saída")</f>
        <v>0</v>
      </c>
      <c r="C156" s="150">
        <f>SUMIFS(TB_BASE[Valor],TB_BASE[Data Pagamento],A156,TB_BASE[Tipo],"Entrada")</f>
        <v>0</v>
      </c>
      <c r="D156" s="150">
        <f t="shared" si="1"/>
        <v>0</v>
      </c>
      <c r="E156" s="148">
        <f t="shared" si="3"/>
        <v>51431.27</v>
      </c>
    </row>
    <row r="157" ht="22.5" customHeight="1">
      <c r="A157" s="149">
        <v>46081.0</v>
      </c>
      <c r="B157" s="150">
        <f>SUMIFS(TB_BASE[Valor],TB_BASE[Data Pagamento],A157,TB_BASE[Tipo],"Saída")</f>
        <v>0</v>
      </c>
      <c r="C157" s="150">
        <f>SUMIFS(TB_BASE[Valor],TB_BASE[Data Pagamento],A157,TB_BASE[Tipo],"Entrada")</f>
        <v>0</v>
      </c>
      <c r="D157" s="150">
        <f t="shared" si="1"/>
        <v>0</v>
      </c>
      <c r="E157" s="148">
        <f t="shared" si="3"/>
        <v>51431.27</v>
      </c>
    </row>
    <row r="158" ht="22.5" customHeight="1">
      <c r="A158" s="149">
        <v>46082.0</v>
      </c>
      <c r="B158" s="150">
        <f>SUMIFS(TB_BASE[Valor],TB_BASE[Data Pagamento],A158,TB_BASE[Tipo],"Saída")</f>
        <v>-5174</v>
      </c>
      <c r="C158" s="150">
        <f>SUMIFS(TB_BASE[Valor],TB_BASE[Data Pagamento],A158,TB_BASE[Tipo],"Entrada")</f>
        <v>0</v>
      </c>
      <c r="D158" s="150">
        <f t="shared" si="1"/>
        <v>-5174</v>
      </c>
      <c r="E158" s="148">
        <f t="shared" si="3"/>
        <v>46257.27</v>
      </c>
    </row>
    <row r="159" ht="22.5" customHeight="1">
      <c r="A159" s="149">
        <v>46083.0</v>
      </c>
      <c r="B159" s="150">
        <f>SUMIFS(TB_BASE[Valor],TB_BASE[Data Pagamento],A159,TB_BASE[Tipo],"Saída")</f>
        <v>0</v>
      </c>
      <c r="C159" s="150">
        <f>SUMIFS(TB_BASE[Valor],TB_BASE[Data Pagamento],A159,TB_BASE[Tipo],"Entrada")</f>
        <v>0</v>
      </c>
      <c r="D159" s="150">
        <f t="shared" si="1"/>
        <v>0</v>
      </c>
      <c r="E159" s="148">
        <f t="shared" si="3"/>
        <v>46257.27</v>
      </c>
    </row>
    <row r="160" ht="22.5" customHeight="1">
      <c r="A160" s="149">
        <v>46084.0</v>
      </c>
      <c r="B160" s="150">
        <f>SUMIFS(TB_BASE[Valor],TB_BASE[Data Pagamento],A160,TB_BASE[Tipo],"Saída")</f>
        <v>0</v>
      </c>
      <c r="C160" s="150">
        <f>SUMIFS(TB_BASE[Valor],TB_BASE[Data Pagamento],A160,TB_BASE[Tipo],"Entrada")</f>
        <v>0</v>
      </c>
      <c r="D160" s="150">
        <f t="shared" si="1"/>
        <v>0</v>
      </c>
      <c r="E160" s="148">
        <f t="shared" si="3"/>
        <v>46257.27</v>
      </c>
    </row>
    <row r="161" ht="22.5" customHeight="1">
      <c r="A161" s="149">
        <v>46085.0</v>
      </c>
      <c r="B161" s="150">
        <f>SUMIFS(TB_BASE[Valor],TB_BASE[Data Pagamento],A161,TB_BASE[Tipo],"Saída")</f>
        <v>0</v>
      </c>
      <c r="C161" s="150">
        <f>SUMIFS(TB_BASE[Valor],TB_BASE[Data Pagamento],A161,TB_BASE[Tipo],"Entrada")</f>
        <v>0</v>
      </c>
      <c r="D161" s="150">
        <f t="shared" si="1"/>
        <v>0</v>
      </c>
      <c r="E161" s="148">
        <f t="shared" si="3"/>
        <v>46257.27</v>
      </c>
    </row>
    <row r="162" ht="22.5" customHeight="1">
      <c r="A162" s="149">
        <v>46086.0</v>
      </c>
      <c r="B162" s="150">
        <f>SUMIFS(TB_BASE[Valor],TB_BASE[Data Pagamento],A162,TB_BASE[Tipo],"Saída")</f>
        <v>0</v>
      </c>
      <c r="C162" s="150">
        <f>SUMIFS(TB_BASE[Valor],TB_BASE[Data Pagamento],A162,TB_BASE[Tipo],"Entrada")</f>
        <v>19000</v>
      </c>
      <c r="D162" s="150">
        <f t="shared" si="1"/>
        <v>19000</v>
      </c>
      <c r="E162" s="148">
        <f t="shared" si="3"/>
        <v>65257.27</v>
      </c>
    </row>
    <row r="163" ht="22.5" customHeight="1">
      <c r="A163" s="149">
        <v>46087.0</v>
      </c>
      <c r="B163" s="150">
        <f>SUMIFS(TB_BASE[Valor],TB_BASE[Data Pagamento],A163,TB_BASE[Tipo],"Saída")</f>
        <v>0</v>
      </c>
      <c r="C163" s="150">
        <f>SUMIFS(TB_BASE[Valor],TB_BASE[Data Pagamento],A163,TB_BASE[Tipo],"Entrada")</f>
        <v>0</v>
      </c>
      <c r="D163" s="150">
        <f t="shared" si="1"/>
        <v>0</v>
      </c>
      <c r="E163" s="148">
        <f t="shared" si="3"/>
        <v>65257.27</v>
      </c>
    </row>
    <row r="164" ht="22.5" customHeight="1">
      <c r="A164" s="149">
        <v>46088.0</v>
      </c>
      <c r="B164" s="150">
        <f>SUMIFS(TB_BASE[Valor],TB_BASE[Data Pagamento],A164,TB_BASE[Tipo],"Saída")</f>
        <v>0</v>
      </c>
      <c r="C164" s="150">
        <f>SUMIFS(TB_BASE[Valor],TB_BASE[Data Pagamento],A164,TB_BASE[Tipo],"Entrada")</f>
        <v>0</v>
      </c>
      <c r="D164" s="150">
        <f t="shared" si="1"/>
        <v>0</v>
      </c>
      <c r="E164" s="148">
        <f t="shared" si="3"/>
        <v>65257.27</v>
      </c>
    </row>
    <row r="165" ht="22.5" customHeight="1">
      <c r="A165" s="149">
        <v>46089.0</v>
      </c>
      <c r="B165" s="150">
        <f>SUMIFS(TB_BASE[Valor],TB_BASE[Data Pagamento],A165,TB_BASE[Tipo],"Saída")</f>
        <v>0</v>
      </c>
      <c r="C165" s="150">
        <f>SUMIFS(TB_BASE[Valor],TB_BASE[Data Pagamento],A165,TB_BASE[Tipo],"Entrada")</f>
        <v>0</v>
      </c>
      <c r="D165" s="150">
        <f t="shared" si="1"/>
        <v>0</v>
      </c>
      <c r="E165" s="148">
        <f t="shared" si="3"/>
        <v>65257.27</v>
      </c>
    </row>
    <row r="166" ht="22.5" customHeight="1">
      <c r="A166" s="149">
        <v>46090.0</v>
      </c>
      <c r="B166" s="150">
        <f>SUMIFS(TB_BASE[Valor],TB_BASE[Data Pagamento],A166,TB_BASE[Tipo],"Saída")</f>
        <v>0</v>
      </c>
      <c r="C166" s="150">
        <f>SUMIFS(TB_BASE[Valor],TB_BASE[Data Pagamento],A166,TB_BASE[Tipo],"Entrada")</f>
        <v>0</v>
      </c>
      <c r="D166" s="150">
        <f t="shared" si="1"/>
        <v>0</v>
      </c>
      <c r="E166" s="148">
        <f t="shared" si="3"/>
        <v>65257.27</v>
      </c>
    </row>
    <row r="167" ht="22.5" customHeight="1">
      <c r="A167" s="149">
        <v>46091.0</v>
      </c>
      <c r="B167" s="150">
        <f>SUMIFS(TB_BASE[Valor],TB_BASE[Data Pagamento],A167,TB_BASE[Tipo],"Saída")</f>
        <v>-3211.54</v>
      </c>
      <c r="C167" s="150">
        <f>SUMIFS(TB_BASE[Valor],TB_BASE[Data Pagamento],A167,TB_BASE[Tipo],"Entrada")</f>
        <v>450</v>
      </c>
      <c r="D167" s="150">
        <f t="shared" si="1"/>
        <v>-2761.54</v>
      </c>
      <c r="E167" s="148">
        <f t="shared" si="3"/>
        <v>62495.73</v>
      </c>
    </row>
    <row r="168" ht="22.5" customHeight="1">
      <c r="A168" s="149">
        <v>46092.0</v>
      </c>
      <c r="B168" s="150">
        <f>SUMIFS(TB_BASE[Valor],TB_BASE[Data Pagamento],A168,TB_BASE[Tipo],"Saída")</f>
        <v>0</v>
      </c>
      <c r="C168" s="150">
        <f>SUMIFS(TB_BASE[Valor],TB_BASE[Data Pagamento],A168,TB_BASE[Tipo],"Entrada")</f>
        <v>0</v>
      </c>
      <c r="D168" s="150">
        <f t="shared" si="1"/>
        <v>0</v>
      </c>
      <c r="E168" s="148">
        <f t="shared" si="3"/>
        <v>62495.73</v>
      </c>
    </row>
    <row r="169" ht="22.5" customHeight="1">
      <c r="A169" s="149">
        <v>46093.0</v>
      </c>
      <c r="B169" s="150">
        <f>SUMIFS(TB_BASE[Valor],TB_BASE[Data Pagamento],A169,TB_BASE[Tipo],"Saída")</f>
        <v>0</v>
      </c>
      <c r="C169" s="150">
        <f>SUMIFS(TB_BASE[Valor],TB_BASE[Data Pagamento],A169,TB_BASE[Tipo],"Entrada")</f>
        <v>0</v>
      </c>
      <c r="D169" s="150">
        <f t="shared" si="1"/>
        <v>0</v>
      </c>
      <c r="E169" s="148">
        <f t="shared" si="3"/>
        <v>62495.73</v>
      </c>
    </row>
    <row r="170" ht="22.5" customHeight="1">
      <c r="A170" s="149">
        <v>46094.0</v>
      </c>
      <c r="B170" s="150">
        <f>SUMIFS(TB_BASE[Valor],TB_BASE[Data Pagamento],A170,TB_BASE[Tipo],"Saída")</f>
        <v>-3600</v>
      </c>
      <c r="C170" s="150">
        <f>SUMIFS(TB_BASE[Valor],TB_BASE[Data Pagamento],A170,TB_BASE[Tipo],"Entrada")</f>
        <v>0</v>
      </c>
      <c r="D170" s="150">
        <f t="shared" si="1"/>
        <v>-3600</v>
      </c>
      <c r="E170" s="148">
        <f t="shared" si="3"/>
        <v>58895.73</v>
      </c>
    </row>
    <row r="171" ht="22.5" customHeight="1">
      <c r="A171" s="149">
        <v>46095.0</v>
      </c>
      <c r="B171" s="150">
        <f>SUMIFS(TB_BASE[Valor],TB_BASE[Data Pagamento],A171,TB_BASE[Tipo],"Saída")</f>
        <v>0</v>
      </c>
      <c r="C171" s="150">
        <f>SUMIFS(TB_BASE[Valor],TB_BASE[Data Pagamento],A171,TB_BASE[Tipo],"Entrada")</f>
        <v>0</v>
      </c>
      <c r="D171" s="150">
        <f t="shared" si="1"/>
        <v>0</v>
      </c>
      <c r="E171" s="148">
        <f t="shared" si="3"/>
        <v>58895.73</v>
      </c>
    </row>
    <row r="172" ht="22.5" customHeight="1">
      <c r="A172" s="149">
        <v>46096.0</v>
      </c>
      <c r="B172" s="150">
        <f>SUMIFS(TB_BASE[Valor],TB_BASE[Data Pagamento],A172,TB_BASE[Tipo],"Saída")</f>
        <v>0</v>
      </c>
      <c r="C172" s="150">
        <f>SUMIFS(TB_BASE[Valor],TB_BASE[Data Pagamento],A172,TB_BASE[Tipo],"Entrada")</f>
        <v>0</v>
      </c>
      <c r="D172" s="150">
        <f t="shared" si="1"/>
        <v>0</v>
      </c>
      <c r="E172" s="148">
        <f t="shared" si="3"/>
        <v>58895.73</v>
      </c>
    </row>
    <row r="173" ht="22.5" customHeight="1">
      <c r="A173" s="149">
        <v>46097.0</v>
      </c>
      <c r="B173" s="150">
        <f>SUMIFS(TB_BASE[Valor],TB_BASE[Data Pagamento],A173,TB_BASE[Tipo],"Saída")</f>
        <v>-236.75</v>
      </c>
      <c r="C173" s="150">
        <f>SUMIFS(TB_BASE[Valor],TB_BASE[Data Pagamento],A173,TB_BASE[Tipo],"Entrada")</f>
        <v>0</v>
      </c>
      <c r="D173" s="150">
        <f t="shared" si="1"/>
        <v>-236.75</v>
      </c>
      <c r="E173" s="148">
        <f t="shared" si="3"/>
        <v>58658.98</v>
      </c>
    </row>
    <row r="174" ht="22.5" customHeight="1">
      <c r="A174" s="149">
        <v>46098.0</v>
      </c>
      <c r="B174" s="150">
        <f>SUMIFS(TB_BASE[Valor],TB_BASE[Data Pagamento],A174,TB_BASE[Tipo],"Saída")</f>
        <v>0</v>
      </c>
      <c r="C174" s="150">
        <f>SUMIFS(TB_BASE[Valor],TB_BASE[Data Pagamento],A174,TB_BASE[Tipo],"Entrada")</f>
        <v>0</v>
      </c>
      <c r="D174" s="150">
        <f t="shared" si="1"/>
        <v>0</v>
      </c>
      <c r="E174" s="148">
        <f t="shared" si="3"/>
        <v>58658.98</v>
      </c>
    </row>
    <row r="175" ht="22.5" customHeight="1">
      <c r="A175" s="149">
        <v>46099.0</v>
      </c>
      <c r="B175" s="150">
        <f>SUMIFS(TB_BASE[Valor],TB_BASE[Data Pagamento],A175,TB_BASE[Tipo],"Saída")</f>
        <v>0</v>
      </c>
      <c r="C175" s="150">
        <f>SUMIFS(TB_BASE[Valor],TB_BASE[Data Pagamento],A175,TB_BASE[Tipo],"Entrada")</f>
        <v>0</v>
      </c>
      <c r="D175" s="150">
        <f t="shared" si="1"/>
        <v>0</v>
      </c>
      <c r="E175" s="148">
        <f t="shared" si="3"/>
        <v>58658.98</v>
      </c>
    </row>
    <row r="176" ht="22.5" customHeight="1">
      <c r="A176" s="149">
        <v>46100.0</v>
      </c>
      <c r="B176" s="150">
        <f>SUMIFS(TB_BASE[Valor],TB_BASE[Data Pagamento],A176,TB_BASE[Tipo],"Saída")</f>
        <v>0</v>
      </c>
      <c r="C176" s="150">
        <f>SUMIFS(TB_BASE[Valor],TB_BASE[Data Pagamento],A176,TB_BASE[Tipo],"Entrada")</f>
        <v>0</v>
      </c>
      <c r="D176" s="150">
        <f t="shared" si="1"/>
        <v>0</v>
      </c>
      <c r="E176" s="148">
        <f t="shared" si="3"/>
        <v>58658.98</v>
      </c>
    </row>
    <row r="177" ht="22.5" customHeight="1">
      <c r="A177" s="149">
        <v>46101.0</v>
      </c>
      <c r="B177" s="150">
        <f>SUMIFS(TB_BASE[Valor],TB_BASE[Data Pagamento],A177,TB_BASE[Tipo],"Saída")</f>
        <v>0</v>
      </c>
      <c r="C177" s="150">
        <f>SUMIFS(TB_BASE[Valor],TB_BASE[Data Pagamento],A177,TB_BASE[Tipo],"Entrada")</f>
        <v>0</v>
      </c>
      <c r="D177" s="150">
        <f t="shared" si="1"/>
        <v>0</v>
      </c>
      <c r="E177" s="148">
        <f t="shared" si="3"/>
        <v>58658.98</v>
      </c>
    </row>
    <row r="178" ht="22.5" customHeight="1">
      <c r="A178" s="149">
        <v>46102.0</v>
      </c>
      <c r="B178" s="150">
        <f>SUMIFS(TB_BASE[Valor],TB_BASE[Data Pagamento],A178,TB_BASE[Tipo],"Saída")</f>
        <v>0</v>
      </c>
      <c r="C178" s="150">
        <f>SUMIFS(TB_BASE[Valor],TB_BASE[Data Pagamento],A178,TB_BASE[Tipo],"Entrada")</f>
        <v>0</v>
      </c>
      <c r="D178" s="150">
        <f t="shared" si="1"/>
        <v>0</v>
      </c>
      <c r="E178" s="148">
        <f t="shared" si="3"/>
        <v>58658.98</v>
      </c>
    </row>
    <row r="179" ht="22.5" customHeight="1">
      <c r="A179" s="149">
        <v>46103.0</v>
      </c>
      <c r="B179" s="150">
        <f>SUMIFS(TB_BASE[Valor],TB_BASE[Data Pagamento],A179,TB_BASE[Tipo],"Saída")</f>
        <v>0</v>
      </c>
      <c r="C179" s="150">
        <f>SUMIFS(TB_BASE[Valor],TB_BASE[Data Pagamento],A179,TB_BASE[Tipo],"Entrada")</f>
        <v>0</v>
      </c>
      <c r="D179" s="150">
        <f t="shared" si="1"/>
        <v>0</v>
      </c>
      <c r="E179" s="148">
        <f t="shared" si="3"/>
        <v>58658.98</v>
      </c>
    </row>
    <row r="180" ht="22.5" customHeight="1">
      <c r="A180" s="149">
        <v>46104.0</v>
      </c>
      <c r="B180" s="150">
        <f>SUMIFS(TB_BASE[Valor],TB_BASE[Data Pagamento],A180,TB_BASE[Tipo],"Saída")</f>
        <v>0</v>
      </c>
      <c r="C180" s="150">
        <f>SUMIFS(TB_BASE[Valor],TB_BASE[Data Pagamento],A180,TB_BASE[Tipo],"Entrada")</f>
        <v>0</v>
      </c>
      <c r="D180" s="150">
        <f t="shared" si="1"/>
        <v>0</v>
      </c>
      <c r="E180" s="148">
        <f t="shared" si="3"/>
        <v>58658.98</v>
      </c>
    </row>
    <row r="181" ht="22.5" customHeight="1">
      <c r="A181" s="149">
        <v>46105.0</v>
      </c>
      <c r="B181" s="150">
        <f>SUMIFS(TB_BASE[Valor],TB_BASE[Data Pagamento],A181,TB_BASE[Tipo],"Saída")</f>
        <v>0</v>
      </c>
      <c r="C181" s="150">
        <f>SUMIFS(TB_BASE[Valor],TB_BASE[Data Pagamento],A181,TB_BASE[Tipo],"Entrada")</f>
        <v>0</v>
      </c>
      <c r="D181" s="150">
        <f t="shared" si="1"/>
        <v>0</v>
      </c>
      <c r="E181" s="148">
        <f t="shared" si="3"/>
        <v>58658.98</v>
      </c>
    </row>
    <row r="182" ht="22.5" customHeight="1">
      <c r="A182" s="149">
        <v>46106.0</v>
      </c>
      <c r="B182" s="150">
        <f>SUMIFS(TB_BASE[Valor],TB_BASE[Data Pagamento],A182,TB_BASE[Tipo],"Saída")</f>
        <v>0</v>
      </c>
      <c r="C182" s="150">
        <f>SUMIFS(TB_BASE[Valor],TB_BASE[Data Pagamento],A182,TB_BASE[Tipo],"Entrada")</f>
        <v>0</v>
      </c>
      <c r="D182" s="150">
        <f t="shared" si="1"/>
        <v>0</v>
      </c>
      <c r="E182" s="148">
        <f t="shared" si="3"/>
        <v>58658.98</v>
      </c>
    </row>
    <row r="183" ht="22.5" customHeight="1">
      <c r="A183" s="149">
        <v>46107.0</v>
      </c>
      <c r="B183" s="150">
        <f>SUMIFS(TB_BASE[Valor],TB_BASE[Data Pagamento],A183,TB_BASE[Tipo],"Saída")</f>
        <v>0</v>
      </c>
      <c r="C183" s="150">
        <f>SUMIFS(TB_BASE[Valor],TB_BASE[Data Pagamento],A183,TB_BASE[Tipo],"Entrada")</f>
        <v>0</v>
      </c>
      <c r="D183" s="150">
        <f t="shared" si="1"/>
        <v>0</v>
      </c>
      <c r="E183" s="148">
        <f t="shared" si="3"/>
        <v>58658.98</v>
      </c>
    </row>
    <row r="184" ht="22.5" customHeight="1">
      <c r="A184" s="149">
        <v>46108.0</v>
      </c>
      <c r="B184" s="150">
        <f>SUMIFS(TB_BASE[Valor],TB_BASE[Data Pagamento],A184,TB_BASE[Tipo],"Saída")</f>
        <v>0</v>
      </c>
      <c r="C184" s="150">
        <f>SUMIFS(TB_BASE[Valor],TB_BASE[Data Pagamento],A184,TB_BASE[Tipo],"Entrada")</f>
        <v>0</v>
      </c>
      <c r="D184" s="150">
        <f t="shared" si="1"/>
        <v>0</v>
      </c>
      <c r="E184" s="148">
        <f t="shared" si="3"/>
        <v>58658.98</v>
      </c>
    </row>
    <row r="185" ht="22.5" customHeight="1">
      <c r="A185" s="149">
        <v>46109.0</v>
      </c>
      <c r="B185" s="150">
        <f>SUMIFS(TB_BASE[Valor],TB_BASE[Data Pagamento],A185,TB_BASE[Tipo],"Saída")</f>
        <v>0</v>
      </c>
      <c r="C185" s="150">
        <f>SUMIFS(TB_BASE[Valor],TB_BASE[Data Pagamento],A185,TB_BASE[Tipo],"Entrada")</f>
        <v>0</v>
      </c>
      <c r="D185" s="150">
        <f t="shared" si="1"/>
        <v>0</v>
      </c>
      <c r="E185" s="148">
        <f t="shared" si="3"/>
        <v>58658.98</v>
      </c>
    </row>
    <row r="186" ht="22.5" customHeight="1">
      <c r="A186" s="149">
        <v>46110.0</v>
      </c>
      <c r="B186" s="150">
        <f>SUMIFS(TB_BASE[Valor],TB_BASE[Data Pagamento],A186,TB_BASE[Tipo],"Saída")</f>
        <v>0</v>
      </c>
      <c r="C186" s="150">
        <f>SUMIFS(TB_BASE[Valor],TB_BASE[Data Pagamento],A186,TB_BASE[Tipo],"Entrada")</f>
        <v>0</v>
      </c>
      <c r="D186" s="150">
        <f t="shared" si="1"/>
        <v>0</v>
      </c>
      <c r="E186" s="148">
        <f t="shared" si="3"/>
        <v>58658.98</v>
      </c>
    </row>
    <row r="187" ht="22.5" customHeight="1">
      <c r="A187" s="149">
        <v>46111.0</v>
      </c>
      <c r="B187" s="150">
        <f>SUMIFS(TB_BASE[Valor],TB_BASE[Data Pagamento],A187,TB_BASE[Tipo],"Saída")</f>
        <v>0</v>
      </c>
      <c r="C187" s="150">
        <f>SUMIFS(TB_BASE[Valor],TB_BASE[Data Pagamento],A187,TB_BASE[Tipo],"Entrada")</f>
        <v>0</v>
      </c>
      <c r="D187" s="150">
        <f t="shared" si="1"/>
        <v>0</v>
      </c>
      <c r="E187" s="148">
        <f t="shared" si="3"/>
        <v>58658.98</v>
      </c>
    </row>
    <row r="188" ht="22.5" customHeight="1">
      <c r="A188" s="149">
        <v>46112.0</v>
      </c>
      <c r="B188" s="150">
        <f>SUMIFS(TB_BASE[Valor],TB_BASE[Data Pagamento],A188,TB_BASE[Tipo],"Saída")</f>
        <v>0</v>
      </c>
      <c r="C188" s="150">
        <f>SUMIFS(TB_BASE[Valor],TB_BASE[Data Pagamento],A188,TB_BASE[Tipo],"Entrada")</f>
        <v>0</v>
      </c>
      <c r="D188" s="150">
        <f t="shared" si="1"/>
        <v>0</v>
      </c>
      <c r="E188" s="148">
        <f t="shared" si="3"/>
        <v>58658.98</v>
      </c>
    </row>
    <row r="189" ht="22.5" customHeight="1">
      <c r="A189" s="149">
        <v>46113.0</v>
      </c>
      <c r="B189" s="150">
        <f>SUMIFS(TB_BASE[Valor],TB_BASE[Data Pagamento],A189,TB_BASE[Tipo],"Saída")</f>
        <v>-5174</v>
      </c>
      <c r="C189" s="150">
        <f>SUMIFS(TB_BASE[Valor],TB_BASE[Data Pagamento],A189,TB_BASE[Tipo],"Entrada")</f>
        <v>3000</v>
      </c>
      <c r="D189" s="150">
        <f t="shared" si="1"/>
        <v>-2174</v>
      </c>
      <c r="E189" s="148">
        <f t="shared" si="3"/>
        <v>56484.98</v>
      </c>
    </row>
    <row r="190" ht="22.5" customHeight="1">
      <c r="A190" s="149">
        <v>46114.0</v>
      </c>
      <c r="B190" s="150">
        <f>SUMIFS(TB_BASE[Valor],TB_BASE[Data Pagamento],A190,TB_BASE[Tipo],"Saída")</f>
        <v>0</v>
      </c>
      <c r="C190" s="150">
        <f>SUMIFS(TB_BASE[Valor],TB_BASE[Data Pagamento],A190,TB_BASE[Tipo],"Entrada")</f>
        <v>0</v>
      </c>
      <c r="D190" s="150">
        <f t="shared" si="1"/>
        <v>0</v>
      </c>
      <c r="E190" s="148">
        <f t="shared" si="3"/>
        <v>56484.98</v>
      </c>
    </row>
    <row r="191">
      <c r="A191" s="82"/>
      <c r="B191" s="152"/>
      <c r="C191" s="152"/>
      <c r="D191" s="82"/>
      <c r="E191" s="82"/>
    </row>
    <row r="192">
      <c r="A192" s="82"/>
      <c r="B192" s="152"/>
      <c r="C192" s="152"/>
      <c r="D192" s="82"/>
      <c r="E192" s="82"/>
    </row>
    <row r="193">
      <c r="A193" s="82"/>
      <c r="B193" s="152"/>
      <c r="C193" s="152"/>
      <c r="D193" s="82"/>
      <c r="E193" s="82"/>
    </row>
    <row r="194">
      <c r="A194" s="82"/>
      <c r="B194" s="152"/>
      <c r="C194" s="152"/>
      <c r="D194" s="82"/>
      <c r="E194" s="82"/>
    </row>
    <row r="195">
      <c r="A195" s="82"/>
      <c r="B195" s="152"/>
      <c r="C195" s="152"/>
      <c r="D195" s="82"/>
      <c r="E195" s="82"/>
    </row>
    <row r="196">
      <c r="A196" s="82"/>
      <c r="B196" s="152"/>
      <c r="C196" s="152"/>
      <c r="D196" s="82"/>
      <c r="E196" s="82"/>
    </row>
    <row r="197">
      <c r="A197" s="82"/>
      <c r="B197" s="152"/>
      <c r="C197" s="152"/>
      <c r="D197" s="82"/>
      <c r="E197" s="82"/>
    </row>
    <row r="198">
      <c r="A198" s="82"/>
      <c r="B198" s="152"/>
      <c r="C198" s="152"/>
      <c r="D198" s="82"/>
      <c r="E198" s="82"/>
    </row>
    <row r="199">
      <c r="A199" s="82"/>
      <c r="B199" s="152"/>
      <c r="C199" s="152"/>
      <c r="D199" s="82"/>
      <c r="E199" s="82"/>
    </row>
    <row r="200">
      <c r="A200" s="82"/>
      <c r="B200" s="152"/>
      <c r="C200" s="152"/>
      <c r="D200" s="82"/>
      <c r="E200" s="82"/>
    </row>
    <row r="201">
      <c r="A201" s="82"/>
      <c r="B201" s="152"/>
      <c r="C201" s="152"/>
      <c r="D201" s="82"/>
      <c r="E201" s="82"/>
    </row>
    <row r="202">
      <c r="A202" s="82"/>
      <c r="B202" s="152"/>
      <c r="C202" s="152"/>
      <c r="D202" s="82"/>
      <c r="E202" s="82"/>
    </row>
    <row r="203">
      <c r="A203" s="82"/>
      <c r="B203" s="152"/>
      <c r="C203" s="152"/>
      <c r="D203" s="82"/>
      <c r="E203" s="82"/>
    </row>
    <row r="204">
      <c r="A204" s="82"/>
      <c r="B204" s="152"/>
      <c r="C204" s="152"/>
      <c r="D204" s="82"/>
      <c r="E204" s="82"/>
    </row>
    <row r="205">
      <c r="A205" s="82"/>
      <c r="B205" s="152"/>
      <c r="C205" s="152"/>
      <c r="D205" s="82"/>
      <c r="E205" s="82"/>
    </row>
    <row r="206">
      <c r="A206" s="82"/>
      <c r="B206" s="152"/>
      <c r="C206" s="152"/>
      <c r="D206" s="82"/>
      <c r="E206" s="82"/>
    </row>
    <row r="207">
      <c r="A207" s="82"/>
      <c r="B207" s="152"/>
      <c r="C207" s="152"/>
      <c r="D207" s="82"/>
      <c r="E207" s="82"/>
    </row>
    <row r="208">
      <c r="A208" s="82"/>
      <c r="B208" s="152"/>
      <c r="C208" s="152"/>
      <c r="D208" s="82"/>
      <c r="E208" s="82"/>
    </row>
    <row r="209">
      <c r="A209" s="82"/>
      <c r="B209" s="152"/>
      <c r="C209" s="152"/>
      <c r="D209" s="82"/>
      <c r="E209" s="82"/>
    </row>
    <row r="210">
      <c r="A210" s="82"/>
      <c r="B210" s="152"/>
      <c r="C210" s="152"/>
      <c r="D210" s="82"/>
      <c r="E210" s="82"/>
    </row>
    <row r="211">
      <c r="A211" s="82"/>
      <c r="B211" s="152"/>
      <c r="C211" s="152"/>
      <c r="D211" s="82"/>
      <c r="E211" s="82"/>
    </row>
    <row r="212">
      <c r="A212" s="82"/>
      <c r="B212" s="152"/>
      <c r="C212" s="152"/>
      <c r="D212" s="82"/>
      <c r="E212" s="82"/>
    </row>
    <row r="213">
      <c r="A213" s="82"/>
      <c r="B213" s="152"/>
      <c r="C213" s="152"/>
      <c r="D213" s="82"/>
      <c r="E213" s="82"/>
    </row>
    <row r="214">
      <c r="A214" s="82"/>
      <c r="B214" s="152"/>
      <c r="C214" s="152"/>
      <c r="D214" s="82"/>
      <c r="E214" s="82"/>
    </row>
    <row r="215">
      <c r="A215" s="82"/>
      <c r="B215" s="152"/>
      <c r="C215" s="152"/>
      <c r="D215" s="82"/>
      <c r="E215" s="82"/>
    </row>
    <row r="216">
      <c r="A216" s="82"/>
      <c r="B216" s="152"/>
      <c r="C216" s="152"/>
      <c r="D216" s="82"/>
      <c r="E216" s="82"/>
    </row>
    <row r="217">
      <c r="A217" s="82"/>
      <c r="B217" s="152"/>
      <c r="C217" s="152"/>
      <c r="D217" s="82"/>
      <c r="E217" s="82"/>
    </row>
    <row r="218">
      <c r="A218" s="82"/>
      <c r="B218" s="152"/>
      <c r="C218" s="152"/>
      <c r="D218" s="82"/>
      <c r="E218" s="82"/>
    </row>
    <row r="219">
      <c r="A219" s="82"/>
      <c r="B219" s="152"/>
      <c r="C219" s="152"/>
      <c r="D219" s="82"/>
      <c r="E219" s="82"/>
    </row>
    <row r="220">
      <c r="A220" s="82"/>
      <c r="B220" s="152"/>
      <c r="C220" s="152"/>
      <c r="D220" s="82"/>
      <c r="E220" s="82"/>
    </row>
    <row r="221">
      <c r="A221" s="82"/>
      <c r="B221" s="152"/>
      <c r="C221" s="152"/>
      <c r="D221" s="82"/>
      <c r="E221" s="82"/>
    </row>
    <row r="222">
      <c r="A222" s="82"/>
      <c r="B222" s="152"/>
      <c r="C222" s="152"/>
      <c r="D222" s="82"/>
      <c r="E222" s="82"/>
    </row>
    <row r="223">
      <c r="A223" s="82"/>
      <c r="B223" s="152"/>
      <c r="C223" s="152"/>
      <c r="D223" s="82"/>
      <c r="E223" s="82"/>
    </row>
    <row r="224">
      <c r="A224" s="82"/>
      <c r="B224" s="152"/>
      <c r="C224" s="152"/>
      <c r="D224" s="82"/>
      <c r="E224" s="82"/>
    </row>
    <row r="225">
      <c r="A225" s="82"/>
      <c r="B225" s="152"/>
      <c r="C225" s="152"/>
      <c r="D225" s="82"/>
      <c r="E225" s="82"/>
    </row>
    <row r="226">
      <c r="A226" s="82"/>
      <c r="B226" s="152"/>
      <c r="C226" s="152"/>
      <c r="D226" s="82"/>
      <c r="E226" s="82"/>
    </row>
    <row r="227">
      <c r="A227" s="82"/>
      <c r="B227" s="152"/>
      <c r="C227" s="152"/>
      <c r="D227" s="82"/>
      <c r="E227" s="82"/>
    </row>
    <row r="228">
      <c r="A228" s="82"/>
      <c r="B228" s="152"/>
      <c r="C228" s="152"/>
      <c r="D228" s="82"/>
      <c r="E228" s="82"/>
    </row>
    <row r="229">
      <c r="A229" s="82"/>
      <c r="B229" s="152"/>
      <c r="C229" s="152"/>
      <c r="D229" s="82"/>
      <c r="E229" s="82"/>
    </row>
    <row r="230">
      <c r="A230" s="82"/>
      <c r="B230" s="152"/>
      <c r="C230" s="152"/>
      <c r="D230" s="82"/>
      <c r="E230" s="82"/>
    </row>
    <row r="231">
      <c r="A231" s="82"/>
      <c r="B231" s="152"/>
      <c r="C231" s="152"/>
      <c r="D231" s="82"/>
      <c r="E231" s="82"/>
    </row>
    <row r="232">
      <c r="A232" s="82"/>
      <c r="B232" s="152"/>
      <c r="C232" s="152"/>
      <c r="D232" s="82"/>
      <c r="E232" s="82"/>
    </row>
    <row r="233">
      <c r="A233" s="82"/>
      <c r="B233" s="152"/>
      <c r="C233" s="152"/>
      <c r="D233" s="82"/>
      <c r="E233" s="82"/>
    </row>
    <row r="234">
      <c r="A234" s="82"/>
      <c r="B234" s="152"/>
      <c r="C234" s="152"/>
      <c r="D234" s="82"/>
      <c r="E234" s="82"/>
    </row>
    <row r="235">
      <c r="A235" s="82"/>
      <c r="B235" s="152"/>
      <c r="C235" s="152"/>
      <c r="D235" s="82"/>
      <c r="E235" s="82"/>
    </row>
    <row r="236">
      <c r="A236" s="82"/>
      <c r="B236" s="152"/>
      <c r="C236" s="152"/>
      <c r="D236" s="82"/>
      <c r="E236" s="82"/>
    </row>
    <row r="237">
      <c r="A237" s="82"/>
      <c r="B237" s="152"/>
      <c r="C237" s="152"/>
      <c r="D237" s="82"/>
      <c r="E237" s="82"/>
    </row>
    <row r="238">
      <c r="A238" s="82"/>
      <c r="B238" s="152"/>
      <c r="C238" s="152"/>
      <c r="D238" s="82"/>
      <c r="E238" s="82"/>
    </row>
    <row r="239">
      <c r="A239" s="82"/>
      <c r="B239" s="152"/>
      <c r="C239" s="152"/>
      <c r="D239" s="82"/>
      <c r="E239" s="82"/>
    </row>
    <row r="240">
      <c r="A240" s="82"/>
      <c r="B240" s="152"/>
      <c r="C240" s="152"/>
      <c r="D240" s="82"/>
      <c r="E240" s="82"/>
    </row>
    <row r="241">
      <c r="A241" s="82"/>
      <c r="B241" s="152"/>
      <c r="C241" s="152"/>
      <c r="D241" s="82"/>
      <c r="E241" s="82"/>
    </row>
    <row r="242">
      <c r="A242" s="82"/>
      <c r="B242" s="152"/>
      <c r="C242" s="152"/>
      <c r="D242" s="82"/>
      <c r="E242" s="82"/>
    </row>
    <row r="243">
      <c r="A243" s="82"/>
      <c r="B243" s="152"/>
      <c r="C243" s="152"/>
      <c r="D243" s="82"/>
      <c r="E243" s="82"/>
    </row>
    <row r="244">
      <c r="A244" s="82"/>
      <c r="B244" s="152"/>
      <c r="C244" s="152"/>
      <c r="D244" s="82"/>
      <c r="E244" s="82"/>
    </row>
    <row r="245">
      <c r="A245" s="82"/>
      <c r="B245" s="152"/>
      <c r="C245" s="152"/>
      <c r="D245" s="82"/>
      <c r="E245" s="82"/>
    </row>
    <row r="246">
      <c r="A246" s="82"/>
      <c r="B246" s="152"/>
      <c r="C246" s="152"/>
      <c r="D246" s="82"/>
      <c r="E246" s="82"/>
    </row>
    <row r="247">
      <c r="A247" s="82"/>
      <c r="B247" s="152"/>
      <c r="C247" s="152"/>
      <c r="D247" s="82"/>
      <c r="E247" s="82"/>
    </row>
    <row r="248">
      <c r="A248" s="82"/>
      <c r="B248" s="152"/>
      <c r="C248" s="152"/>
      <c r="D248" s="82"/>
      <c r="E248" s="82"/>
    </row>
    <row r="249">
      <c r="A249" s="82"/>
      <c r="B249" s="152"/>
      <c r="C249" s="152"/>
      <c r="D249" s="82"/>
      <c r="E249" s="82"/>
    </row>
    <row r="250">
      <c r="A250" s="82"/>
      <c r="B250" s="152"/>
      <c r="C250" s="152"/>
      <c r="D250" s="82"/>
      <c r="E250" s="82"/>
    </row>
    <row r="251">
      <c r="A251" s="82"/>
      <c r="B251" s="152"/>
      <c r="C251" s="152"/>
      <c r="D251" s="82"/>
      <c r="E251" s="82"/>
    </row>
    <row r="252">
      <c r="A252" s="82"/>
      <c r="B252" s="152"/>
      <c r="C252" s="152"/>
      <c r="D252" s="82"/>
      <c r="E252" s="82"/>
    </row>
    <row r="253">
      <c r="A253" s="82"/>
      <c r="B253" s="152"/>
      <c r="C253" s="152"/>
      <c r="D253" s="82"/>
      <c r="E253" s="82"/>
    </row>
    <row r="254">
      <c r="A254" s="82"/>
      <c r="B254" s="152"/>
      <c r="C254" s="152"/>
      <c r="D254" s="82"/>
      <c r="E254" s="82"/>
    </row>
    <row r="255">
      <c r="A255" s="82"/>
      <c r="B255" s="152"/>
      <c r="C255" s="152"/>
      <c r="D255" s="82"/>
      <c r="E255" s="82"/>
    </row>
    <row r="256">
      <c r="A256" s="82"/>
      <c r="B256" s="152"/>
      <c r="C256" s="152"/>
      <c r="D256" s="82"/>
      <c r="E256" s="82"/>
    </row>
    <row r="257">
      <c r="A257" s="82"/>
      <c r="B257" s="152"/>
      <c r="C257" s="152"/>
      <c r="D257" s="82"/>
      <c r="E257" s="82"/>
    </row>
    <row r="258">
      <c r="A258" s="82"/>
      <c r="B258" s="152"/>
      <c r="C258" s="152"/>
      <c r="D258" s="82"/>
      <c r="E258" s="82"/>
    </row>
    <row r="259">
      <c r="A259" s="82"/>
      <c r="B259" s="152"/>
      <c r="C259" s="152"/>
      <c r="D259" s="82"/>
      <c r="E259" s="82"/>
    </row>
    <row r="260">
      <c r="A260" s="82"/>
      <c r="B260" s="152"/>
      <c r="C260" s="152"/>
      <c r="D260" s="82"/>
      <c r="E260" s="82"/>
    </row>
    <row r="261">
      <c r="A261" s="82"/>
      <c r="B261" s="152"/>
      <c r="C261" s="152"/>
      <c r="D261" s="82"/>
      <c r="E261" s="82"/>
    </row>
    <row r="262">
      <c r="A262" s="82"/>
      <c r="B262" s="152"/>
      <c r="C262" s="152"/>
      <c r="D262" s="82"/>
      <c r="E262" s="82"/>
    </row>
    <row r="263">
      <c r="A263" s="82"/>
      <c r="B263" s="152"/>
      <c r="C263" s="152"/>
      <c r="D263" s="82"/>
      <c r="E263" s="82"/>
    </row>
    <row r="264">
      <c r="A264" s="82"/>
      <c r="B264" s="152"/>
      <c r="C264" s="152"/>
      <c r="D264" s="82"/>
      <c r="E264" s="82"/>
    </row>
    <row r="265">
      <c r="A265" s="82"/>
      <c r="B265" s="152"/>
      <c r="C265" s="152"/>
      <c r="D265" s="82"/>
      <c r="E265" s="82"/>
    </row>
    <row r="266">
      <c r="A266" s="82"/>
      <c r="B266" s="152"/>
      <c r="C266" s="152"/>
      <c r="D266" s="82"/>
      <c r="E266" s="82"/>
    </row>
    <row r="267">
      <c r="A267" s="82"/>
      <c r="B267" s="152"/>
      <c r="C267" s="152"/>
      <c r="D267" s="82"/>
      <c r="E267" s="82"/>
    </row>
    <row r="268">
      <c r="A268" s="82"/>
      <c r="B268" s="152"/>
      <c r="C268" s="152"/>
      <c r="D268" s="82"/>
      <c r="E268" s="82"/>
    </row>
    <row r="269">
      <c r="A269" s="82"/>
      <c r="B269" s="152"/>
      <c r="C269" s="152"/>
      <c r="D269" s="82"/>
      <c r="E269" s="82"/>
    </row>
    <row r="270">
      <c r="A270" s="82"/>
      <c r="B270" s="152"/>
      <c r="C270" s="152"/>
      <c r="D270" s="82"/>
      <c r="E270" s="82"/>
    </row>
    <row r="271">
      <c r="A271" s="82"/>
      <c r="B271" s="152"/>
      <c r="C271" s="152"/>
      <c r="D271" s="82"/>
      <c r="E271" s="82"/>
    </row>
    <row r="272">
      <c r="A272" s="82"/>
      <c r="B272" s="152"/>
      <c r="C272" s="152"/>
      <c r="D272" s="82"/>
      <c r="E272" s="82"/>
    </row>
    <row r="273">
      <c r="A273" s="82"/>
      <c r="B273" s="152"/>
      <c r="C273" s="152"/>
      <c r="D273" s="82"/>
      <c r="E273" s="82"/>
    </row>
    <row r="274">
      <c r="A274" s="82"/>
      <c r="B274" s="152"/>
      <c r="C274" s="152"/>
      <c r="D274" s="82"/>
      <c r="E274" s="82"/>
    </row>
    <row r="275">
      <c r="A275" s="82"/>
      <c r="B275" s="152"/>
      <c r="C275" s="152"/>
      <c r="D275" s="82"/>
      <c r="E275" s="82"/>
    </row>
    <row r="276">
      <c r="A276" s="82"/>
      <c r="B276" s="152"/>
      <c r="C276" s="152"/>
      <c r="D276" s="82"/>
      <c r="E276" s="82"/>
    </row>
    <row r="277">
      <c r="A277" s="82"/>
      <c r="B277" s="152"/>
      <c r="C277" s="152"/>
      <c r="D277" s="82"/>
      <c r="E277" s="82"/>
    </row>
    <row r="278">
      <c r="A278" s="82"/>
      <c r="B278" s="152"/>
      <c r="C278" s="152"/>
      <c r="D278" s="82"/>
      <c r="E278" s="82"/>
    </row>
    <row r="279">
      <c r="A279" s="82"/>
      <c r="B279" s="152"/>
      <c r="C279" s="152"/>
      <c r="D279" s="82"/>
      <c r="E279" s="82"/>
    </row>
    <row r="280">
      <c r="A280" s="82"/>
      <c r="B280" s="152"/>
      <c r="C280" s="152"/>
      <c r="D280" s="82"/>
      <c r="E280" s="82"/>
    </row>
    <row r="281">
      <c r="A281" s="82"/>
      <c r="B281" s="152"/>
      <c r="C281" s="152"/>
      <c r="D281" s="82"/>
      <c r="E281" s="82"/>
    </row>
    <row r="282">
      <c r="A282" s="82"/>
      <c r="B282" s="152"/>
      <c r="C282" s="152"/>
      <c r="D282" s="82"/>
      <c r="E282" s="82"/>
    </row>
    <row r="283">
      <c r="A283" s="82"/>
      <c r="B283" s="152"/>
      <c r="C283" s="152"/>
      <c r="D283" s="82"/>
      <c r="E283" s="82"/>
    </row>
    <row r="284">
      <c r="A284" s="82"/>
      <c r="B284" s="152"/>
      <c r="C284" s="152"/>
      <c r="D284" s="82"/>
      <c r="E284" s="82"/>
    </row>
    <row r="285">
      <c r="A285" s="82"/>
      <c r="B285" s="152"/>
      <c r="C285" s="152"/>
      <c r="D285" s="82"/>
      <c r="E285" s="82"/>
    </row>
    <row r="286">
      <c r="A286" s="82"/>
      <c r="B286" s="152"/>
      <c r="C286" s="152"/>
      <c r="D286" s="82"/>
      <c r="E286" s="82"/>
    </row>
    <row r="287">
      <c r="A287" s="82"/>
      <c r="B287" s="152"/>
      <c r="C287" s="152"/>
      <c r="D287" s="82"/>
      <c r="E287" s="82"/>
    </row>
    <row r="288">
      <c r="A288" s="82"/>
      <c r="B288" s="152"/>
      <c r="C288" s="152"/>
      <c r="D288" s="82"/>
      <c r="E288" s="82"/>
    </row>
    <row r="289">
      <c r="A289" s="82"/>
      <c r="B289" s="152"/>
      <c r="C289" s="152"/>
      <c r="D289" s="82"/>
      <c r="E289" s="82"/>
    </row>
    <row r="290">
      <c r="A290" s="82"/>
      <c r="B290" s="152"/>
      <c r="C290" s="152"/>
      <c r="D290" s="82"/>
      <c r="E290" s="82"/>
    </row>
    <row r="291">
      <c r="A291" s="82"/>
      <c r="B291" s="152"/>
      <c r="C291" s="152"/>
      <c r="D291" s="82"/>
      <c r="E291" s="82"/>
    </row>
    <row r="292">
      <c r="A292" s="82"/>
      <c r="B292" s="152"/>
      <c r="C292" s="152"/>
      <c r="D292" s="82"/>
      <c r="E292" s="82"/>
    </row>
    <row r="293">
      <c r="A293" s="82"/>
      <c r="B293" s="152"/>
      <c r="C293" s="152"/>
      <c r="D293" s="82"/>
      <c r="E293" s="82"/>
    </row>
    <row r="294">
      <c r="A294" s="82"/>
      <c r="B294" s="152"/>
      <c r="C294" s="152"/>
      <c r="D294" s="82"/>
      <c r="E294" s="82"/>
    </row>
    <row r="295">
      <c r="A295" s="82"/>
      <c r="B295" s="152"/>
      <c r="C295" s="152"/>
      <c r="D295" s="82"/>
      <c r="E295" s="82"/>
    </row>
    <row r="296">
      <c r="A296" s="82"/>
      <c r="B296" s="152"/>
      <c r="C296" s="152"/>
      <c r="D296" s="82"/>
      <c r="E296" s="82"/>
    </row>
    <row r="297">
      <c r="A297" s="82"/>
      <c r="B297" s="152"/>
      <c r="C297" s="152"/>
      <c r="D297" s="82"/>
      <c r="E297" s="82"/>
    </row>
    <row r="298">
      <c r="A298" s="82"/>
      <c r="B298" s="152"/>
      <c r="C298" s="152"/>
      <c r="D298" s="82"/>
      <c r="E298" s="82"/>
    </row>
    <row r="299">
      <c r="A299" s="82"/>
      <c r="B299" s="152"/>
      <c r="C299" s="152"/>
      <c r="D299" s="82"/>
      <c r="E299" s="82"/>
    </row>
    <row r="300">
      <c r="A300" s="82"/>
      <c r="B300" s="152"/>
      <c r="C300" s="152"/>
      <c r="D300" s="82"/>
      <c r="E300" s="82"/>
    </row>
    <row r="301">
      <c r="A301" s="82"/>
      <c r="B301" s="152"/>
      <c r="C301" s="152"/>
      <c r="D301" s="82"/>
      <c r="E301" s="82"/>
    </row>
    <row r="302">
      <c r="A302" s="82"/>
      <c r="B302" s="152"/>
      <c r="C302" s="152"/>
      <c r="D302" s="82"/>
      <c r="E302" s="82"/>
    </row>
    <row r="303">
      <c r="A303" s="82"/>
      <c r="B303" s="152"/>
      <c r="C303" s="152"/>
      <c r="D303" s="82"/>
      <c r="E303" s="82"/>
    </row>
    <row r="304">
      <c r="A304" s="82"/>
      <c r="B304" s="152"/>
      <c r="C304" s="152"/>
      <c r="D304" s="82"/>
      <c r="E304" s="82"/>
    </row>
    <row r="305">
      <c r="A305" s="82"/>
      <c r="B305" s="152"/>
      <c r="C305" s="152"/>
      <c r="D305" s="82"/>
      <c r="E305" s="82"/>
    </row>
    <row r="306">
      <c r="A306" s="82"/>
      <c r="B306" s="152"/>
      <c r="C306" s="152"/>
      <c r="D306" s="82"/>
      <c r="E306" s="82"/>
    </row>
    <row r="307">
      <c r="A307" s="82"/>
      <c r="B307" s="152"/>
      <c r="C307" s="152"/>
      <c r="D307" s="82"/>
      <c r="E307" s="82"/>
    </row>
    <row r="308">
      <c r="A308" s="82"/>
      <c r="B308" s="152"/>
      <c r="C308" s="152"/>
      <c r="D308" s="82"/>
      <c r="E308" s="82"/>
    </row>
    <row r="309">
      <c r="A309" s="82"/>
      <c r="B309" s="152"/>
      <c r="C309" s="152"/>
      <c r="D309" s="82"/>
      <c r="E309" s="82"/>
    </row>
    <row r="310">
      <c r="A310" s="82"/>
      <c r="B310" s="152"/>
      <c r="C310" s="152"/>
      <c r="D310" s="82"/>
      <c r="E310" s="82"/>
    </row>
    <row r="311">
      <c r="A311" s="82"/>
      <c r="B311" s="152"/>
      <c r="C311" s="152"/>
      <c r="D311" s="82"/>
      <c r="E311" s="82"/>
    </row>
    <row r="312">
      <c r="A312" s="82"/>
      <c r="B312" s="152"/>
      <c r="C312" s="152"/>
      <c r="D312" s="82"/>
      <c r="E312" s="82"/>
    </row>
    <row r="313">
      <c r="A313" s="82"/>
      <c r="B313" s="152"/>
      <c r="C313" s="152"/>
      <c r="D313" s="82"/>
      <c r="E313" s="82"/>
    </row>
    <row r="314">
      <c r="A314" s="82"/>
      <c r="B314" s="152"/>
      <c r="C314" s="152"/>
      <c r="D314" s="82"/>
      <c r="E314" s="82"/>
    </row>
    <row r="315">
      <c r="A315" s="82"/>
      <c r="B315" s="152"/>
      <c r="C315" s="152"/>
      <c r="D315" s="82"/>
      <c r="E315" s="82"/>
    </row>
    <row r="316">
      <c r="A316" s="82"/>
      <c r="B316" s="152"/>
      <c r="C316" s="152"/>
      <c r="D316" s="82"/>
      <c r="E316" s="82"/>
    </row>
    <row r="317">
      <c r="A317" s="82"/>
      <c r="B317" s="152"/>
      <c r="C317" s="152"/>
      <c r="D317" s="82"/>
      <c r="E317" s="82"/>
    </row>
    <row r="318">
      <c r="A318" s="82"/>
      <c r="B318" s="152"/>
      <c r="C318" s="152"/>
      <c r="D318" s="82"/>
      <c r="E318" s="82"/>
    </row>
    <row r="319">
      <c r="A319" s="82"/>
      <c r="B319" s="152"/>
      <c r="C319" s="152"/>
      <c r="D319" s="82"/>
      <c r="E319" s="82"/>
    </row>
    <row r="320">
      <c r="A320" s="82"/>
      <c r="B320" s="152"/>
      <c r="C320" s="152"/>
      <c r="D320" s="82"/>
      <c r="E320" s="82"/>
    </row>
    <row r="321">
      <c r="A321" s="82"/>
      <c r="B321" s="152"/>
      <c r="C321" s="152"/>
      <c r="D321" s="82"/>
      <c r="E321" s="82"/>
    </row>
    <row r="322">
      <c r="A322" s="82"/>
      <c r="B322" s="152"/>
      <c r="C322" s="152"/>
      <c r="D322" s="82"/>
      <c r="E322" s="82"/>
    </row>
    <row r="323">
      <c r="A323" s="82"/>
      <c r="B323" s="152"/>
      <c r="C323" s="152"/>
      <c r="D323" s="82"/>
      <c r="E323" s="82"/>
    </row>
    <row r="324">
      <c r="A324" s="82"/>
      <c r="B324" s="152"/>
      <c r="C324" s="152"/>
      <c r="D324" s="82"/>
      <c r="E324" s="82"/>
    </row>
    <row r="325">
      <c r="A325" s="82"/>
      <c r="B325" s="152"/>
      <c r="C325" s="152"/>
      <c r="D325" s="82"/>
      <c r="E325" s="82"/>
    </row>
    <row r="326">
      <c r="A326" s="82"/>
      <c r="B326" s="152"/>
      <c r="C326" s="152"/>
      <c r="D326" s="82"/>
      <c r="E326" s="82"/>
    </row>
    <row r="327">
      <c r="A327" s="82"/>
      <c r="B327" s="152"/>
      <c r="C327" s="152"/>
      <c r="D327" s="82"/>
      <c r="E327" s="82"/>
    </row>
    <row r="328">
      <c r="A328" s="82"/>
      <c r="B328" s="152"/>
      <c r="C328" s="152"/>
      <c r="D328" s="82"/>
      <c r="E328" s="82"/>
    </row>
    <row r="329">
      <c r="A329" s="82"/>
      <c r="B329" s="152"/>
      <c r="C329" s="152"/>
      <c r="D329" s="82"/>
      <c r="E329" s="82"/>
    </row>
    <row r="330">
      <c r="A330" s="82"/>
      <c r="B330" s="152"/>
      <c r="C330" s="152"/>
      <c r="D330" s="82"/>
      <c r="E330" s="82"/>
    </row>
    <row r="331">
      <c r="A331" s="82"/>
      <c r="B331" s="152"/>
      <c r="C331" s="152"/>
      <c r="D331" s="82"/>
      <c r="E331" s="82"/>
    </row>
    <row r="332">
      <c r="A332" s="82"/>
      <c r="B332" s="152"/>
      <c r="C332" s="152"/>
      <c r="D332" s="82"/>
      <c r="E332" s="82"/>
    </row>
    <row r="333">
      <c r="A333" s="82"/>
      <c r="B333" s="152"/>
      <c r="C333" s="152"/>
      <c r="D333" s="82"/>
      <c r="E333" s="82"/>
    </row>
    <row r="334">
      <c r="A334" s="82"/>
      <c r="B334" s="152"/>
      <c r="C334" s="152"/>
      <c r="D334" s="82"/>
      <c r="E334" s="82"/>
    </row>
    <row r="335">
      <c r="A335" s="82"/>
      <c r="B335" s="152"/>
      <c r="C335" s="152"/>
      <c r="D335" s="82"/>
      <c r="E335" s="82"/>
    </row>
    <row r="336">
      <c r="A336" s="82"/>
      <c r="B336" s="152"/>
      <c r="C336" s="152"/>
      <c r="D336" s="82"/>
      <c r="E336" s="82"/>
    </row>
    <row r="337">
      <c r="A337" s="82"/>
      <c r="B337" s="152"/>
      <c r="C337" s="152"/>
      <c r="D337" s="82"/>
      <c r="E337" s="82"/>
    </row>
    <row r="338">
      <c r="A338" s="82"/>
      <c r="B338" s="152"/>
      <c r="C338" s="152"/>
      <c r="D338" s="82"/>
      <c r="E338" s="82"/>
    </row>
    <row r="339">
      <c r="A339" s="82"/>
      <c r="B339" s="152"/>
      <c r="C339" s="152"/>
      <c r="D339" s="82"/>
      <c r="E339" s="82"/>
    </row>
    <row r="340">
      <c r="A340" s="82"/>
      <c r="B340" s="152"/>
      <c r="C340" s="152"/>
      <c r="D340" s="82"/>
      <c r="E340" s="82"/>
    </row>
    <row r="341">
      <c r="A341" s="82"/>
      <c r="B341" s="152"/>
      <c r="C341" s="152"/>
      <c r="D341" s="82"/>
      <c r="E341" s="82"/>
    </row>
    <row r="342">
      <c r="A342" s="82"/>
      <c r="B342" s="152"/>
      <c r="C342" s="152"/>
      <c r="D342" s="82"/>
      <c r="E342" s="82"/>
    </row>
    <row r="343">
      <c r="A343" s="82"/>
      <c r="B343" s="152"/>
      <c r="C343" s="152"/>
      <c r="D343" s="82"/>
      <c r="E343" s="82"/>
    </row>
    <row r="344">
      <c r="A344" s="82"/>
      <c r="B344" s="152"/>
      <c r="C344" s="152"/>
      <c r="D344" s="82"/>
      <c r="E344" s="82"/>
    </row>
    <row r="345">
      <c r="A345" s="82"/>
      <c r="B345" s="152"/>
      <c r="C345" s="152"/>
      <c r="D345" s="82"/>
      <c r="E345" s="82"/>
    </row>
    <row r="346">
      <c r="A346" s="82"/>
      <c r="B346" s="152"/>
      <c r="C346" s="152"/>
      <c r="D346" s="82"/>
      <c r="E346" s="82"/>
    </row>
    <row r="347">
      <c r="A347" s="82"/>
      <c r="B347" s="152"/>
      <c r="C347" s="152"/>
      <c r="D347" s="82"/>
      <c r="E347" s="82"/>
    </row>
    <row r="348">
      <c r="A348" s="82"/>
      <c r="B348" s="152"/>
      <c r="C348" s="152"/>
      <c r="D348" s="82"/>
      <c r="E348" s="82"/>
    </row>
    <row r="349">
      <c r="A349" s="82"/>
      <c r="B349" s="152"/>
      <c r="C349" s="152"/>
      <c r="D349" s="82"/>
      <c r="E349" s="82"/>
    </row>
    <row r="350">
      <c r="A350" s="82"/>
      <c r="B350" s="152"/>
      <c r="C350" s="152"/>
      <c r="D350" s="82"/>
      <c r="E350" s="82"/>
    </row>
    <row r="351">
      <c r="A351" s="82"/>
      <c r="B351" s="152"/>
      <c r="C351" s="152"/>
      <c r="D351" s="82"/>
      <c r="E351" s="82"/>
    </row>
    <row r="352">
      <c r="A352" s="82"/>
      <c r="B352" s="152"/>
      <c r="C352" s="152"/>
      <c r="D352" s="82"/>
      <c r="E352" s="82"/>
    </row>
    <row r="353">
      <c r="A353" s="82"/>
      <c r="B353" s="152"/>
      <c r="C353" s="152"/>
      <c r="D353" s="82"/>
      <c r="E353" s="82"/>
    </row>
    <row r="354">
      <c r="A354" s="82"/>
      <c r="B354" s="152"/>
      <c r="C354" s="152"/>
      <c r="D354" s="82"/>
      <c r="E354" s="82"/>
    </row>
    <row r="355">
      <c r="A355" s="82"/>
      <c r="B355" s="152"/>
      <c r="C355" s="152"/>
      <c r="D355" s="82"/>
      <c r="E355" s="82"/>
    </row>
    <row r="356">
      <c r="A356" s="82"/>
      <c r="B356" s="152"/>
      <c r="C356" s="152"/>
      <c r="D356" s="82"/>
      <c r="E356" s="82"/>
    </row>
    <row r="357">
      <c r="A357" s="82"/>
      <c r="B357" s="152"/>
      <c r="C357" s="152"/>
      <c r="D357" s="82"/>
      <c r="E357" s="82"/>
    </row>
    <row r="358">
      <c r="A358" s="82"/>
      <c r="B358" s="152"/>
      <c r="C358" s="152"/>
      <c r="D358" s="82"/>
      <c r="E358" s="82"/>
    </row>
    <row r="359">
      <c r="A359" s="82"/>
      <c r="B359" s="152"/>
      <c r="C359" s="152"/>
      <c r="D359" s="82"/>
      <c r="E359" s="82"/>
    </row>
    <row r="360">
      <c r="A360" s="82"/>
      <c r="B360" s="152"/>
      <c r="C360" s="152"/>
      <c r="D360" s="82"/>
      <c r="E360" s="82"/>
    </row>
    <row r="361">
      <c r="A361" s="82"/>
      <c r="B361" s="152"/>
      <c r="C361" s="152"/>
      <c r="D361" s="82"/>
      <c r="E361" s="82"/>
    </row>
    <row r="362">
      <c r="A362" s="82"/>
      <c r="B362" s="152"/>
      <c r="C362" s="152"/>
      <c r="D362" s="82"/>
      <c r="E362" s="82"/>
    </row>
    <row r="363">
      <c r="A363" s="82"/>
      <c r="B363" s="152"/>
      <c r="C363" s="152"/>
      <c r="D363" s="82"/>
      <c r="E363" s="82"/>
    </row>
    <row r="364">
      <c r="A364" s="82"/>
      <c r="B364" s="152"/>
      <c r="C364" s="152"/>
      <c r="D364" s="82"/>
      <c r="E364" s="82"/>
    </row>
    <row r="365">
      <c r="A365" s="82"/>
      <c r="B365" s="152"/>
      <c r="C365" s="152"/>
      <c r="D365" s="82"/>
      <c r="E365" s="82"/>
    </row>
    <row r="366">
      <c r="A366" s="82"/>
      <c r="B366" s="152"/>
      <c r="C366" s="152"/>
      <c r="D366" s="82"/>
      <c r="E366" s="82"/>
    </row>
    <row r="367">
      <c r="A367" s="82"/>
      <c r="B367" s="152"/>
      <c r="C367" s="152"/>
      <c r="D367" s="82"/>
      <c r="E367" s="82"/>
    </row>
    <row r="368">
      <c r="A368" s="82"/>
      <c r="B368" s="152"/>
      <c r="C368" s="152"/>
      <c r="D368" s="82"/>
      <c r="E368" s="82"/>
    </row>
    <row r="369">
      <c r="A369" s="82"/>
      <c r="B369" s="152"/>
      <c r="C369" s="152"/>
      <c r="D369" s="82"/>
      <c r="E369" s="82"/>
    </row>
    <row r="370">
      <c r="A370" s="82"/>
      <c r="B370" s="152"/>
      <c r="C370" s="152"/>
      <c r="D370" s="82"/>
      <c r="E370" s="82"/>
    </row>
    <row r="371">
      <c r="A371" s="82"/>
      <c r="B371" s="152"/>
      <c r="C371" s="152"/>
      <c r="D371" s="82"/>
      <c r="E371" s="82"/>
    </row>
    <row r="372">
      <c r="A372" s="82"/>
      <c r="B372" s="152"/>
      <c r="C372" s="152"/>
      <c r="D372" s="82"/>
      <c r="E372" s="82"/>
    </row>
    <row r="373">
      <c r="A373" s="82"/>
      <c r="B373" s="152"/>
      <c r="C373" s="152"/>
      <c r="D373" s="82"/>
      <c r="E373" s="82"/>
    </row>
    <row r="374">
      <c r="A374" s="82"/>
      <c r="B374" s="152"/>
      <c r="C374" s="152"/>
      <c r="D374" s="82"/>
      <c r="E374" s="82"/>
    </row>
    <row r="375">
      <c r="A375" s="82"/>
      <c r="B375" s="152"/>
      <c r="C375" s="152"/>
      <c r="D375" s="82"/>
      <c r="E375" s="82"/>
    </row>
    <row r="376">
      <c r="A376" s="82"/>
      <c r="B376" s="152"/>
      <c r="C376" s="152"/>
      <c r="D376" s="82"/>
      <c r="E376" s="82"/>
    </row>
    <row r="377">
      <c r="A377" s="82"/>
      <c r="B377" s="152"/>
      <c r="C377" s="152"/>
      <c r="D377" s="82"/>
      <c r="E377" s="82"/>
    </row>
    <row r="378">
      <c r="A378" s="82"/>
      <c r="B378" s="152"/>
      <c r="C378" s="152"/>
      <c r="D378" s="82"/>
      <c r="E378" s="82"/>
    </row>
    <row r="379">
      <c r="A379" s="82"/>
      <c r="B379" s="152"/>
      <c r="C379" s="152"/>
      <c r="D379" s="82"/>
      <c r="E379" s="82"/>
    </row>
    <row r="380">
      <c r="A380" s="82"/>
      <c r="B380" s="152"/>
      <c r="C380" s="152"/>
      <c r="D380" s="82"/>
      <c r="E380" s="82"/>
    </row>
    <row r="381">
      <c r="A381" s="82"/>
      <c r="B381" s="152"/>
      <c r="C381" s="152"/>
      <c r="D381" s="82"/>
      <c r="E381" s="82"/>
    </row>
    <row r="382">
      <c r="A382" s="82"/>
      <c r="B382" s="152"/>
      <c r="C382" s="152"/>
      <c r="D382" s="82"/>
      <c r="E382" s="82"/>
    </row>
    <row r="383">
      <c r="A383" s="82"/>
      <c r="B383" s="152"/>
      <c r="C383" s="152"/>
      <c r="D383" s="82"/>
      <c r="E383" s="82"/>
    </row>
    <row r="384">
      <c r="A384" s="82"/>
      <c r="B384" s="152"/>
      <c r="C384" s="152"/>
      <c r="D384" s="82"/>
      <c r="E384" s="82"/>
    </row>
    <row r="385">
      <c r="A385" s="82"/>
      <c r="B385" s="152"/>
      <c r="C385" s="152"/>
      <c r="D385" s="82"/>
      <c r="E385" s="82"/>
    </row>
    <row r="386">
      <c r="A386" s="82"/>
      <c r="B386" s="152"/>
      <c r="C386" s="152"/>
      <c r="D386" s="82"/>
      <c r="E386" s="82"/>
    </row>
    <row r="387">
      <c r="A387" s="82"/>
      <c r="B387" s="152"/>
      <c r="C387" s="152"/>
      <c r="D387" s="82"/>
      <c r="E387" s="82"/>
    </row>
    <row r="388">
      <c r="A388" s="82"/>
      <c r="B388" s="152"/>
      <c r="C388" s="152"/>
      <c r="D388" s="82"/>
      <c r="E388" s="82"/>
    </row>
    <row r="389">
      <c r="A389" s="82"/>
      <c r="B389" s="152"/>
      <c r="C389" s="152"/>
      <c r="D389" s="82"/>
      <c r="E389" s="82"/>
    </row>
    <row r="390">
      <c r="A390" s="82"/>
      <c r="B390" s="152"/>
      <c r="C390" s="152"/>
      <c r="D390" s="82"/>
      <c r="E390" s="82"/>
    </row>
    <row r="391">
      <c r="A391" s="82"/>
      <c r="B391" s="152"/>
      <c r="C391" s="152"/>
      <c r="D391" s="82"/>
      <c r="E391" s="82"/>
    </row>
    <row r="392">
      <c r="A392" s="82"/>
      <c r="B392" s="152"/>
      <c r="C392" s="152"/>
      <c r="D392" s="82"/>
      <c r="E392" s="82"/>
    </row>
    <row r="393">
      <c r="A393" s="82"/>
      <c r="B393" s="152"/>
      <c r="C393" s="152"/>
      <c r="D393" s="82"/>
      <c r="E393" s="82"/>
    </row>
    <row r="394">
      <c r="A394" s="82"/>
      <c r="B394" s="152"/>
      <c r="C394" s="152"/>
      <c r="D394" s="82"/>
      <c r="E394" s="82"/>
    </row>
    <row r="395">
      <c r="A395" s="82"/>
      <c r="B395" s="152"/>
      <c r="C395" s="152"/>
      <c r="D395" s="82"/>
      <c r="E395" s="82"/>
    </row>
    <row r="396">
      <c r="A396" s="82"/>
      <c r="B396" s="152"/>
      <c r="C396" s="152"/>
      <c r="D396" s="82"/>
      <c r="E396" s="82"/>
    </row>
    <row r="397">
      <c r="A397" s="82"/>
      <c r="B397" s="152"/>
      <c r="C397" s="152"/>
      <c r="D397" s="82"/>
      <c r="E397" s="82"/>
    </row>
    <row r="398">
      <c r="A398" s="82"/>
      <c r="B398" s="152"/>
      <c r="C398" s="152"/>
      <c r="D398" s="82"/>
      <c r="E398" s="82"/>
    </row>
    <row r="399">
      <c r="A399" s="82"/>
      <c r="B399" s="152"/>
      <c r="C399" s="152"/>
      <c r="D399" s="82"/>
      <c r="E399" s="82"/>
    </row>
    <row r="400">
      <c r="A400" s="82"/>
      <c r="B400" s="152"/>
      <c r="C400" s="152"/>
      <c r="D400" s="82"/>
      <c r="E400" s="82"/>
    </row>
    <row r="401">
      <c r="A401" s="82"/>
      <c r="B401" s="152"/>
      <c r="C401" s="152"/>
      <c r="D401" s="82"/>
      <c r="E401" s="82"/>
    </row>
    <row r="402">
      <c r="A402" s="82"/>
      <c r="B402" s="152"/>
      <c r="C402" s="152"/>
      <c r="D402" s="82"/>
      <c r="E402" s="82"/>
    </row>
    <row r="403">
      <c r="A403" s="82"/>
      <c r="B403" s="152"/>
      <c r="C403" s="152"/>
      <c r="D403" s="82"/>
      <c r="E403" s="82"/>
    </row>
    <row r="404">
      <c r="A404" s="82"/>
      <c r="B404" s="152"/>
      <c r="C404" s="152"/>
      <c r="D404" s="82"/>
      <c r="E404" s="82"/>
    </row>
    <row r="405">
      <c r="A405" s="82"/>
      <c r="B405" s="152"/>
      <c r="C405" s="152"/>
      <c r="D405" s="82"/>
      <c r="E405" s="82"/>
    </row>
    <row r="406">
      <c r="A406" s="82"/>
      <c r="B406" s="152"/>
      <c r="C406" s="152"/>
      <c r="D406" s="82"/>
      <c r="E406" s="82"/>
    </row>
    <row r="407">
      <c r="A407" s="82"/>
      <c r="B407" s="152"/>
      <c r="C407" s="152"/>
      <c r="D407" s="82"/>
      <c r="E407" s="82"/>
    </row>
    <row r="408">
      <c r="A408" s="82"/>
      <c r="B408" s="152"/>
      <c r="C408" s="152"/>
      <c r="D408" s="82"/>
      <c r="E408" s="82"/>
    </row>
    <row r="409">
      <c r="A409" s="82"/>
      <c r="B409" s="152"/>
      <c r="C409" s="152"/>
      <c r="D409" s="82"/>
      <c r="E409" s="82"/>
    </row>
    <row r="410">
      <c r="A410" s="82"/>
      <c r="B410" s="152"/>
      <c r="C410" s="152"/>
      <c r="D410" s="82"/>
      <c r="E410" s="82"/>
    </row>
    <row r="411">
      <c r="A411" s="82"/>
      <c r="B411" s="152"/>
      <c r="C411" s="152"/>
      <c r="D411" s="82"/>
      <c r="E411" s="82"/>
    </row>
    <row r="412">
      <c r="A412" s="82"/>
      <c r="B412" s="152"/>
      <c r="C412" s="152"/>
      <c r="D412" s="82"/>
      <c r="E412" s="82"/>
    </row>
    <row r="413">
      <c r="A413" s="82"/>
      <c r="B413" s="152"/>
      <c r="C413" s="152"/>
      <c r="D413" s="82"/>
      <c r="E413" s="82"/>
    </row>
    <row r="414">
      <c r="A414" s="82"/>
      <c r="B414" s="152"/>
      <c r="C414" s="152"/>
      <c r="D414" s="82"/>
      <c r="E414" s="82"/>
    </row>
    <row r="415">
      <c r="A415" s="82"/>
      <c r="B415" s="152"/>
      <c r="C415" s="152"/>
      <c r="D415" s="82"/>
      <c r="E415" s="82"/>
    </row>
    <row r="416">
      <c r="A416" s="82"/>
      <c r="B416" s="152"/>
      <c r="C416" s="152"/>
      <c r="D416" s="82"/>
      <c r="E416" s="82"/>
    </row>
    <row r="417">
      <c r="A417" s="82"/>
      <c r="B417" s="152"/>
      <c r="C417" s="152"/>
      <c r="D417" s="82"/>
      <c r="E417" s="82"/>
    </row>
    <row r="418">
      <c r="A418" s="82"/>
      <c r="B418" s="152"/>
      <c r="C418" s="152"/>
      <c r="D418" s="82"/>
      <c r="E418" s="82"/>
    </row>
    <row r="419">
      <c r="A419" s="82"/>
      <c r="B419" s="152"/>
      <c r="C419" s="152"/>
      <c r="D419" s="82"/>
      <c r="E419" s="82"/>
    </row>
    <row r="420">
      <c r="A420" s="82"/>
      <c r="B420" s="152"/>
      <c r="C420" s="152"/>
      <c r="D420" s="82"/>
      <c r="E420" s="82"/>
    </row>
    <row r="421">
      <c r="A421" s="82"/>
      <c r="B421" s="152"/>
      <c r="C421" s="152"/>
      <c r="D421" s="82"/>
      <c r="E421" s="82"/>
    </row>
    <row r="422">
      <c r="A422" s="82"/>
      <c r="B422" s="152"/>
      <c r="C422" s="152"/>
      <c r="D422" s="82"/>
      <c r="E422" s="82"/>
    </row>
    <row r="423">
      <c r="A423" s="82"/>
      <c r="B423" s="152"/>
      <c r="C423" s="152"/>
      <c r="D423" s="82"/>
      <c r="E423" s="82"/>
    </row>
    <row r="424">
      <c r="A424" s="82"/>
      <c r="B424" s="152"/>
      <c r="C424" s="152"/>
      <c r="D424" s="82"/>
      <c r="E424" s="82"/>
    </row>
    <row r="425">
      <c r="A425" s="82"/>
      <c r="B425" s="152"/>
      <c r="C425" s="152"/>
      <c r="D425" s="82"/>
      <c r="E425" s="82"/>
    </row>
    <row r="426">
      <c r="A426" s="82"/>
      <c r="B426" s="152"/>
      <c r="C426" s="152"/>
      <c r="D426" s="82"/>
      <c r="E426" s="82"/>
    </row>
    <row r="427">
      <c r="A427" s="82"/>
      <c r="B427" s="152"/>
      <c r="C427" s="152"/>
      <c r="D427" s="82"/>
      <c r="E427" s="82"/>
    </row>
    <row r="428">
      <c r="A428" s="82"/>
      <c r="B428" s="152"/>
      <c r="C428" s="152"/>
      <c r="D428" s="82"/>
      <c r="E428" s="82"/>
    </row>
    <row r="429">
      <c r="A429" s="82"/>
      <c r="B429" s="152"/>
      <c r="C429" s="152"/>
      <c r="D429" s="82"/>
      <c r="E429" s="82"/>
    </row>
    <row r="430">
      <c r="A430" s="82"/>
      <c r="B430" s="152"/>
      <c r="C430" s="152"/>
      <c r="D430" s="82"/>
      <c r="E430" s="82"/>
    </row>
    <row r="431">
      <c r="A431" s="82"/>
      <c r="B431" s="152"/>
      <c r="C431" s="152"/>
      <c r="D431" s="82"/>
      <c r="E431" s="82"/>
    </row>
    <row r="432">
      <c r="A432" s="82"/>
      <c r="B432" s="152"/>
      <c r="C432" s="152"/>
      <c r="D432" s="82"/>
      <c r="E432" s="82"/>
    </row>
    <row r="433">
      <c r="A433" s="82"/>
      <c r="B433" s="152"/>
      <c r="C433" s="152"/>
      <c r="D433" s="82"/>
      <c r="E433" s="82"/>
    </row>
    <row r="434">
      <c r="A434" s="82"/>
      <c r="B434" s="152"/>
      <c r="C434" s="152"/>
      <c r="D434" s="82"/>
      <c r="E434" s="82"/>
    </row>
    <row r="435">
      <c r="A435" s="82"/>
      <c r="B435" s="152"/>
      <c r="C435" s="152"/>
      <c r="D435" s="82"/>
      <c r="E435" s="82"/>
    </row>
    <row r="436">
      <c r="A436" s="82"/>
      <c r="B436" s="152"/>
      <c r="C436" s="152"/>
      <c r="D436" s="82"/>
      <c r="E436" s="82"/>
    </row>
    <row r="437">
      <c r="A437" s="82"/>
      <c r="B437" s="152"/>
      <c r="C437" s="152"/>
      <c r="D437" s="82"/>
      <c r="E437" s="82"/>
    </row>
    <row r="438">
      <c r="A438" s="82"/>
      <c r="B438" s="152"/>
      <c r="C438" s="152"/>
      <c r="D438" s="82"/>
      <c r="E438" s="82"/>
    </row>
    <row r="439">
      <c r="A439" s="82"/>
      <c r="B439" s="152"/>
      <c r="C439" s="152"/>
      <c r="D439" s="82"/>
      <c r="E439" s="82"/>
    </row>
    <row r="440">
      <c r="A440" s="82"/>
      <c r="B440" s="152"/>
      <c r="C440" s="152"/>
      <c r="D440" s="82"/>
      <c r="E440" s="82"/>
    </row>
    <row r="441">
      <c r="A441" s="82"/>
      <c r="B441" s="152"/>
      <c r="C441" s="152"/>
      <c r="D441" s="82"/>
      <c r="E441" s="82"/>
    </row>
    <row r="442">
      <c r="A442" s="82"/>
      <c r="B442" s="152"/>
      <c r="C442" s="152"/>
      <c r="D442" s="82"/>
      <c r="E442" s="82"/>
    </row>
    <row r="443">
      <c r="A443" s="82"/>
      <c r="B443" s="152"/>
      <c r="C443" s="152"/>
      <c r="D443" s="82"/>
      <c r="E443" s="82"/>
    </row>
    <row r="444">
      <c r="A444" s="82"/>
      <c r="B444" s="152"/>
      <c r="C444" s="152"/>
      <c r="D444" s="82"/>
      <c r="E444" s="82"/>
    </row>
    <row r="445">
      <c r="A445" s="82"/>
      <c r="B445" s="152"/>
      <c r="C445" s="152"/>
      <c r="D445" s="82"/>
      <c r="E445" s="82"/>
    </row>
    <row r="446">
      <c r="A446" s="82"/>
      <c r="B446" s="152"/>
      <c r="C446" s="152"/>
      <c r="D446" s="82"/>
      <c r="E446" s="82"/>
    </row>
    <row r="447">
      <c r="A447" s="82"/>
      <c r="B447" s="152"/>
      <c r="C447" s="152"/>
      <c r="D447" s="82"/>
      <c r="E447" s="82"/>
    </row>
    <row r="448">
      <c r="A448" s="82"/>
      <c r="B448" s="152"/>
      <c r="C448" s="152"/>
      <c r="D448" s="82"/>
      <c r="E448" s="82"/>
    </row>
    <row r="449">
      <c r="A449" s="82"/>
      <c r="B449" s="152"/>
      <c r="C449" s="152"/>
      <c r="D449" s="82"/>
      <c r="E449" s="82"/>
    </row>
    <row r="450">
      <c r="A450" s="82"/>
      <c r="B450" s="152"/>
      <c r="C450" s="152"/>
      <c r="D450" s="82"/>
      <c r="E450" s="82"/>
    </row>
    <row r="451">
      <c r="A451" s="82"/>
      <c r="B451" s="152"/>
      <c r="C451" s="152"/>
      <c r="D451" s="82"/>
      <c r="E451" s="82"/>
    </row>
    <row r="452">
      <c r="A452" s="82"/>
      <c r="B452" s="152"/>
      <c r="C452" s="152"/>
      <c r="D452" s="82"/>
      <c r="E452" s="82"/>
    </row>
    <row r="453">
      <c r="A453" s="82"/>
      <c r="B453" s="152"/>
      <c r="C453" s="152"/>
      <c r="D453" s="82"/>
      <c r="E453" s="82"/>
    </row>
    <row r="454">
      <c r="A454" s="82"/>
      <c r="B454" s="152"/>
      <c r="C454" s="152"/>
      <c r="D454" s="82"/>
      <c r="E454" s="82"/>
    </row>
    <row r="455">
      <c r="A455" s="82"/>
      <c r="B455" s="152"/>
      <c r="C455" s="152"/>
      <c r="D455" s="82"/>
      <c r="E455" s="82"/>
    </row>
    <row r="456">
      <c r="A456" s="82"/>
      <c r="B456" s="152"/>
      <c r="C456" s="152"/>
      <c r="D456" s="82"/>
      <c r="E456" s="82"/>
    </row>
    <row r="457">
      <c r="A457" s="82"/>
      <c r="B457" s="152"/>
      <c r="C457" s="152"/>
      <c r="D457" s="82"/>
      <c r="E457" s="82"/>
    </row>
    <row r="458">
      <c r="A458" s="82"/>
      <c r="B458" s="152"/>
      <c r="C458" s="152"/>
      <c r="D458" s="82"/>
      <c r="E458" s="82"/>
    </row>
    <row r="459">
      <c r="A459" s="82"/>
      <c r="B459" s="152"/>
      <c r="C459" s="152"/>
      <c r="D459" s="82"/>
      <c r="E459" s="82"/>
    </row>
    <row r="460">
      <c r="A460" s="82"/>
      <c r="B460" s="152"/>
      <c r="C460" s="152"/>
      <c r="D460" s="82"/>
      <c r="E460" s="82"/>
    </row>
    <row r="461">
      <c r="A461" s="82"/>
      <c r="B461" s="152"/>
      <c r="C461" s="152"/>
      <c r="D461" s="82"/>
      <c r="E461" s="82"/>
    </row>
    <row r="462">
      <c r="A462" s="82"/>
      <c r="B462" s="152"/>
      <c r="C462" s="152"/>
      <c r="D462" s="82"/>
      <c r="E462" s="82"/>
    </row>
    <row r="463">
      <c r="A463" s="82"/>
      <c r="B463" s="152"/>
      <c r="C463" s="152"/>
      <c r="D463" s="82"/>
      <c r="E463" s="82"/>
    </row>
    <row r="464">
      <c r="A464" s="82"/>
      <c r="B464" s="152"/>
      <c r="C464" s="152"/>
      <c r="D464" s="82"/>
      <c r="E464" s="82"/>
    </row>
    <row r="465">
      <c r="A465" s="82"/>
      <c r="B465" s="152"/>
      <c r="C465" s="152"/>
      <c r="D465" s="82"/>
      <c r="E465" s="82"/>
    </row>
    <row r="466">
      <c r="A466" s="82"/>
      <c r="B466" s="152"/>
      <c r="C466" s="152"/>
      <c r="D466" s="82"/>
      <c r="E466" s="82"/>
    </row>
    <row r="467">
      <c r="A467" s="82"/>
      <c r="B467" s="152"/>
      <c r="C467" s="152"/>
      <c r="D467" s="82"/>
      <c r="E467" s="82"/>
    </row>
    <row r="468">
      <c r="A468" s="82"/>
      <c r="B468" s="152"/>
      <c r="C468" s="152"/>
      <c r="D468" s="82"/>
      <c r="E468" s="82"/>
    </row>
    <row r="469">
      <c r="A469" s="82"/>
      <c r="B469" s="152"/>
      <c r="C469" s="152"/>
      <c r="D469" s="82"/>
      <c r="E469" s="82"/>
    </row>
    <row r="470">
      <c r="A470" s="82"/>
      <c r="B470" s="152"/>
      <c r="C470" s="152"/>
      <c r="D470" s="82"/>
      <c r="E470" s="82"/>
    </row>
    <row r="471">
      <c r="A471" s="82"/>
      <c r="B471" s="152"/>
      <c r="C471" s="152"/>
      <c r="D471" s="82"/>
      <c r="E471" s="82"/>
    </row>
    <row r="472">
      <c r="A472" s="82"/>
      <c r="B472" s="152"/>
      <c r="C472" s="152"/>
      <c r="D472" s="82"/>
      <c r="E472" s="82"/>
    </row>
    <row r="473">
      <c r="A473" s="82"/>
      <c r="B473" s="152"/>
      <c r="C473" s="152"/>
      <c r="D473" s="82"/>
      <c r="E473" s="82"/>
    </row>
    <row r="474">
      <c r="A474" s="82"/>
      <c r="B474" s="152"/>
      <c r="C474" s="152"/>
      <c r="D474" s="82"/>
      <c r="E474" s="82"/>
    </row>
    <row r="475">
      <c r="A475" s="82"/>
      <c r="B475" s="152"/>
      <c r="C475" s="152"/>
      <c r="D475" s="82"/>
      <c r="E475" s="82"/>
    </row>
    <row r="476">
      <c r="A476" s="82"/>
      <c r="B476" s="152"/>
      <c r="C476" s="152"/>
      <c r="D476" s="82"/>
      <c r="E476" s="82"/>
    </row>
    <row r="477">
      <c r="A477" s="82"/>
      <c r="B477" s="152"/>
      <c r="C477" s="152"/>
      <c r="D477" s="82"/>
      <c r="E477" s="82"/>
    </row>
    <row r="478">
      <c r="A478" s="82"/>
      <c r="B478" s="152"/>
      <c r="C478" s="152"/>
      <c r="D478" s="82"/>
      <c r="E478" s="82"/>
    </row>
    <row r="479">
      <c r="A479" s="82"/>
      <c r="B479" s="152"/>
      <c r="C479" s="152"/>
      <c r="D479" s="82"/>
      <c r="E479" s="82"/>
    </row>
    <row r="480">
      <c r="A480" s="82"/>
      <c r="B480" s="152"/>
      <c r="C480" s="152"/>
      <c r="D480" s="82"/>
      <c r="E480" s="82"/>
    </row>
    <row r="481">
      <c r="A481" s="82"/>
      <c r="B481" s="152"/>
      <c r="C481" s="152"/>
      <c r="D481" s="82"/>
      <c r="E481" s="82"/>
    </row>
    <row r="482">
      <c r="A482" s="82"/>
      <c r="B482" s="152"/>
      <c r="C482" s="152"/>
      <c r="D482" s="82"/>
      <c r="E482" s="82"/>
    </row>
    <row r="483">
      <c r="A483" s="82"/>
      <c r="B483" s="152"/>
      <c r="C483" s="152"/>
      <c r="D483" s="82"/>
      <c r="E483" s="82"/>
    </row>
    <row r="484">
      <c r="A484" s="82"/>
      <c r="B484" s="152"/>
      <c r="C484" s="152"/>
      <c r="D484" s="82"/>
      <c r="E484" s="82"/>
    </row>
    <row r="485">
      <c r="A485" s="82"/>
      <c r="B485" s="152"/>
      <c r="C485" s="152"/>
      <c r="D485" s="82"/>
      <c r="E485" s="82"/>
    </row>
    <row r="486">
      <c r="A486" s="82"/>
      <c r="B486" s="152"/>
      <c r="C486" s="152"/>
      <c r="D486" s="82"/>
      <c r="E486" s="82"/>
    </row>
    <row r="487">
      <c r="A487" s="82"/>
      <c r="B487" s="152"/>
      <c r="C487" s="152"/>
      <c r="D487" s="82"/>
      <c r="E487" s="82"/>
    </row>
    <row r="488">
      <c r="A488" s="82"/>
      <c r="B488" s="152"/>
      <c r="C488" s="152"/>
      <c r="D488" s="82"/>
      <c r="E488" s="82"/>
    </row>
    <row r="489">
      <c r="A489" s="82"/>
      <c r="B489" s="152"/>
      <c r="C489" s="152"/>
      <c r="D489" s="82"/>
      <c r="E489" s="82"/>
    </row>
    <row r="490">
      <c r="A490" s="82"/>
      <c r="B490" s="152"/>
      <c r="C490" s="152"/>
      <c r="D490" s="82"/>
      <c r="E490" s="82"/>
    </row>
    <row r="491">
      <c r="A491" s="82"/>
      <c r="B491" s="152"/>
      <c r="C491" s="152"/>
      <c r="D491" s="82"/>
      <c r="E491" s="82"/>
    </row>
    <row r="492">
      <c r="A492" s="82"/>
      <c r="B492" s="152"/>
      <c r="C492" s="152"/>
      <c r="D492" s="82"/>
      <c r="E492" s="82"/>
    </row>
    <row r="493">
      <c r="A493" s="82"/>
      <c r="B493" s="152"/>
      <c r="C493" s="152"/>
      <c r="D493" s="82"/>
      <c r="E493" s="82"/>
    </row>
    <row r="494">
      <c r="A494" s="82"/>
      <c r="B494" s="152"/>
      <c r="C494" s="152"/>
      <c r="D494" s="82"/>
      <c r="E494" s="82"/>
    </row>
    <row r="495">
      <c r="A495" s="82"/>
      <c r="B495" s="152"/>
      <c r="C495" s="152"/>
      <c r="D495" s="82"/>
      <c r="E495" s="82"/>
    </row>
    <row r="496">
      <c r="A496" s="82"/>
      <c r="B496" s="152"/>
      <c r="C496" s="152"/>
      <c r="D496" s="82"/>
      <c r="E496" s="82"/>
    </row>
    <row r="497">
      <c r="A497" s="82"/>
      <c r="B497" s="152"/>
      <c r="C497" s="152"/>
      <c r="D497" s="82"/>
      <c r="E497" s="82"/>
    </row>
    <row r="498">
      <c r="A498" s="82"/>
      <c r="B498" s="152"/>
      <c r="C498" s="152"/>
      <c r="D498" s="82"/>
      <c r="E498" s="82"/>
    </row>
    <row r="499">
      <c r="A499" s="82"/>
      <c r="B499" s="152"/>
      <c r="C499" s="152"/>
      <c r="D499" s="82"/>
      <c r="E499" s="82"/>
    </row>
    <row r="500">
      <c r="A500" s="82"/>
      <c r="B500" s="152"/>
      <c r="C500" s="152"/>
      <c r="D500" s="82"/>
      <c r="E500" s="82"/>
    </row>
    <row r="501">
      <c r="A501" s="82"/>
      <c r="B501" s="152"/>
      <c r="C501" s="152"/>
      <c r="D501" s="82"/>
      <c r="E501" s="82"/>
    </row>
    <row r="502">
      <c r="A502" s="82"/>
      <c r="B502" s="152"/>
      <c r="C502" s="152"/>
      <c r="D502" s="82"/>
      <c r="E502" s="82"/>
    </row>
    <row r="503">
      <c r="A503" s="82"/>
      <c r="B503" s="152"/>
      <c r="C503" s="152"/>
      <c r="D503" s="82"/>
      <c r="E503" s="82"/>
    </row>
    <row r="504">
      <c r="A504" s="82"/>
      <c r="B504" s="152"/>
      <c r="C504" s="152"/>
      <c r="D504" s="82"/>
      <c r="E504" s="82"/>
    </row>
    <row r="505">
      <c r="A505" s="82"/>
      <c r="B505" s="152"/>
      <c r="C505" s="152"/>
      <c r="D505" s="82"/>
      <c r="E505" s="82"/>
    </row>
    <row r="506">
      <c r="A506" s="82"/>
      <c r="B506" s="152"/>
      <c r="C506" s="152"/>
      <c r="D506" s="82"/>
      <c r="E506" s="82"/>
    </row>
    <row r="507">
      <c r="A507" s="82"/>
      <c r="B507" s="152"/>
      <c r="C507" s="152"/>
      <c r="D507" s="82"/>
      <c r="E507" s="82"/>
    </row>
    <row r="508">
      <c r="A508" s="82"/>
      <c r="B508" s="152"/>
      <c r="C508" s="152"/>
      <c r="D508" s="82"/>
      <c r="E508" s="82"/>
    </row>
    <row r="509">
      <c r="A509" s="82"/>
      <c r="B509" s="152"/>
      <c r="C509" s="152"/>
      <c r="D509" s="82"/>
      <c r="E509" s="82"/>
    </row>
    <row r="510">
      <c r="A510" s="82"/>
      <c r="B510" s="152"/>
      <c r="C510" s="152"/>
      <c r="D510" s="82"/>
      <c r="E510" s="82"/>
    </row>
    <row r="511">
      <c r="A511" s="82"/>
      <c r="B511" s="152"/>
      <c r="C511" s="152"/>
      <c r="D511" s="82"/>
      <c r="E511" s="82"/>
    </row>
    <row r="512">
      <c r="A512" s="82"/>
      <c r="B512" s="152"/>
      <c r="C512" s="152"/>
      <c r="D512" s="82"/>
      <c r="E512" s="82"/>
    </row>
    <row r="513">
      <c r="A513" s="82"/>
      <c r="B513" s="152"/>
      <c r="C513" s="152"/>
      <c r="D513" s="82"/>
      <c r="E513" s="82"/>
    </row>
    <row r="514">
      <c r="A514" s="82"/>
      <c r="B514" s="152"/>
      <c r="C514" s="152"/>
      <c r="D514" s="82"/>
      <c r="E514" s="82"/>
    </row>
    <row r="515">
      <c r="A515" s="82"/>
      <c r="B515" s="152"/>
      <c r="C515" s="152"/>
      <c r="D515" s="82"/>
      <c r="E515" s="82"/>
    </row>
    <row r="516">
      <c r="A516" s="82"/>
      <c r="B516" s="152"/>
      <c r="C516" s="152"/>
      <c r="D516" s="82"/>
      <c r="E516" s="82"/>
    </row>
    <row r="517">
      <c r="A517" s="82"/>
      <c r="B517" s="152"/>
      <c r="C517" s="152"/>
      <c r="D517" s="82"/>
      <c r="E517" s="82"/>
    </row>
    <row r="518">
      <c r="A518" s="82"/>
      <c r="B518" s="152"/>
      <c r="C518" s="152"/>
      <c r="D518" s="82"/>
      <c r="E518" s="82"/>
    </row>
    <row r="519">
      <c r="A519" s="82"/>
      <c r="B519" s="152"/>
      <c r="C519" s="152"/>
      <c r="D519" s="82"/>
      <c r="E519" s="82"/>
    </row>
    <row r="520">
      <c r="A520" s="82"/>
      <c r="B520" s="152"/>
      <c r="C520" s="152"/>
      <c r="D520" s="82"/>
      <c r="E520" s="82"/>
    </row>
    <row r="521">
      <c r="A521" s="82"/>
      <c r="B521" s="152"/>
      <c r="C521" s="152"/>
      <c r="D521" s="82"/>
      <c r="E521" s="82"/>
    </row>
    <row r="522">
      <c r="A522" s="82"/>
      <c r="B522" s="152"/>
      <c r="C522" s="152"/>
      <c r="D522" s="82"/>
      <c r="E522" s="82"/>
    </row>
    <row r="523">
      <c r="A523" s="82"/>
      <c r="B523" s="152"/>
      <c r="C523" s="152"/>
      <c r="D523" s="82"/>
      <c r="E523" s="82"/>
    </row>
    <row r="524">
      <c r="A524" s="82"/>
      <c r="B524" s="152"/>
      <c r="C524" s="152"/>
      <c r="D524" s="82"/>
      <c r="E524" s="82"/>
    </row>
    <row r="525">
      <c r="A525" s="82"/>
      <c r="B525" s="152"/>
      <c r="C525" s="152"/>
      <c r="D525" s="82"/>
      <c r="E525" s="82"/>
    </row>
    <row r="526">
      <c r="A526" s="82"/>
      <c r="B526" s="152"/>
      <c r="C526" s="152"/>
      <c r="D526" s="82"/>
      <c r="E526" s="82"/>
    </row>
    <row r="527">
      <c r="A527" s="82"/>
      <c r="B527" s="152"/>
      <c r="C527" s="152"/>
      <c r="D527" s="82"/>
      <c r="E527" s="82"/>
    </row>
    <row r="528">
      <c r="A528" s="82"/>
      <c r="B528" s="152"/>
      <c r="C528" s="152"/>
      <c r="D528" s="82"/>
      <c r="E528" s="82"/>
    </row>
    <row r="529">
      <c r="A529" s="82"/>
      <c r="B529" s="152"/>
      <c r="C529" s="152"/>
      <c r="D529" s="82"/>
      <c r="E529" s="82"/>
    </row>
    <row r="530">
      <c r="A530" s="82"/>
      <c r="B530" s="152"/>
      <c r="C530" s="152"/>
      <c r="D530" s="82"/>
      <c r="E530" s="82"/>
    </row>
    <row r="531">
      <c r="A531" s="82"/>
      <c r="B531" s="152"/>
      <c r="C531" s="152"/>
      <c r="D531" s="82"/>
      <c r="E531" s="82"/>
    </row>
    <row r="532">
      <c r="A532" s="82"/>
      <c r="B532" s="152"/>
      <c r="C532" s="152"/>
      <c r="D532" s="82"/>
      <c r="E532" s="82"/>
    </row>
    <row r="533">
      <c r="A533" s="82"/>
      <c r="B533" s="152"/>
      <c r="C533" s="152"/>
      <c r="D533" s="82"/>
      <c r="E533" s="82"/>
    </row>
    <row r="534">
      <c r="A534" s="82"/>
      <c r="B534" s="152"/>
      <c r="C534" s="152"/>
      <c r="D534" s="82"/>
      <c r="E534" s="82"/>
    </row>
    <row r="535">
      <c r="A535" s="82"/>
      <c r="B535" s="152"/>
      <c r="C535" s="152"/>
      <c r="D535" s="82"/>
      <c r="E535" s="82"/>
    </row>
    <row r="536">
      <c r="A536" s="82"/>
      <c r="B536" s="152"/>
      <c r="C536" s="152"/>
      <c r="D536" s="82"/>
      <c r="E536" s="82"/>
    </row>
    <row r="537">
      <c r="A537" s="82"/>
      <c r="B537" s="152"/>
      <c r="C537" s="152"/>
      <c r="D537" s="82"/>
      <c r="E537" s="82"/>
    </row>
    <row r="538">
      <c r="A538" s="82"/>
      <c r="B538" s="152"/>
      <c r="C538" s="152"/>
      <c r="D538" s="82"/>
      <c r="E538" s="82"/>
    </row>
    <row r="539">
      <c r="A539" s="82"/>
      <c r="B539" s="152"/>
      <c r="C539" s="152"/>
      <c r="D539" s="82"/>
      <c r="E539" s="82"/>
    </row>
    <row r="540">
      <c r="A540" s="82"/>
      <c r="B540" s="152"/>
      <c r="C540" s="152"/>
      <c r="D540" s="82"/>
      <c r="E540" s="82"/>
    </row>
    <row r="541">
      <c r="A541" s="82"/>
      <c r="B541" s="152"/>
      <c r="C541" s="152"/>
      <c r="D541" s="82"/>
      <c r="E541" s="82"/>
    </row>
    <row r="542">
      <c r="A542" s="82"/>
      <c r="B542" s="152"/>
      <c r="C542" s="152"/>
      <c r="D542" s="82"/>
      <c r="E542" s="82"/>
    </row>
    <row r="543">
      <c r="A543" s="82"/>
      <c r="B543" s="152"/>
      <c r="C543" s="152"/>
      <c r="D543" s="82"/>
      <c r="E543" s="82"/>
    </row>
    <row r="544">
      <c r="A544" s="82"/>
      <c r="B544" s="152"/>
      <c r="C544" s="152"/>
      <c r="D544" s="82"/>
      <c r="E544" s="82"/>
    </row>
    <row r="545">
      <c r="A545" s="82"/>
      <c r="B545" s="152"/>
      <c r="C545" s="152"/>
      <c r="D545" s="82"/>
      <c r="E545" s="82"/>
    </row>
    <row r="546">
      <c r="A546" s="82"/>
      <c r="B546" s="152"/>
      <c r="C546" s="152"/>
      <c r="D546" s="82"/>
      <c r="E546" s="82"/>
    </row>
    <row r="547">
      <c r="A547" s="82"/>
      <c r="B547" s="152"/>
      <c r="C547" s="152"/>
      <c r="D547" s="82"/>
      <c r="E547" s="82"/>
    </row>
    <row r="548">
      <c r="A548" s="82"/>
      <c r="B548" s="152"/>
      <c r="C548" s="152"/>
      <c r="D548" s="82"/>
      <c r="E548" s="82"/>
    </row>
    <row r="549">
      <c r="A549" s="82"/>
      <c r="B549" s="152"/>
      <c r="C549" s="152"/>
      <c r="D549" s="82"/>
      <c r="E549" s="82"/>
    </row>
    <row r="550">
      <c r="A550" s="82"/>
      <c r="B550" s="152"/>
      <c r="C550" s="152"/>
      <c r="D550" s="82"/>
      <c r="E550" s="82"/>
    </row>
    <row r="551">
      <c r="A551" s="82"/>
      <c r="B551" s="152"/>
      <c r="C551" s="152"/>
      <c r="D551" s="82"/>
      <c r="E551" s="82"/>
    </row>
    <row r="552">
      <c r="A552" s="82"/>
      <c r="B552" s="152"/>
      <c r="C552" s="152"/>
      <c r="D552" s="82"/>
      <c r="E552" s="82"/>
    </row>
    <row r="553">
      <c r="A553" s="82"/>
      <c r="B553" s="152"/>
      <c r="C553" s="152"/>
      <c r="D553" s="82"/>
      <c r="E553" s="82"/>
    </row>
    <row r="554">
      <c r="A554" s="82"/>
      <c r="B554" s="152"/>
      <c r="C554" s="152"/>
      <c r="D554" s="82"/>
      <c r="E554" s="82"/>
    </row>
    <row r="555">
      <c r="A555" s="82"/>
      <c r="B555" s="152"/>
      <c r="C555" s="152"/>
      <c r="D555" s="82"/>
      <c r="E555" s="82"/>
    </row>
    <row r="556">
      <c r="A556" s="82"/>
      <c r="B556" s="152"/>
      <c r="C556" s="152"/>
      <c r="D556" s="82"/>
      <c r="E556" s="82"/>
    </row>
    <row r="557">
      <c r="A557" s="82"/>
      <c r="B557" s="152"/>
      <c r="C557" s="152"/>
      <c r="D557" s="82"/>
      <c r="E557" s="82"/>
    </row>
    <row r="558">
      <c r="A558" s="82"/>
      <c r="B558" s="152"/>
      <c r="C558" s="152"/>
      <c r="D558" s="82"/>
      <c r="E558" s="82"/>
    </row>
    <row r="559">
      <c r="A559" s="82"/>
      <c r="B559" s="152"/>
      <c r="C559" s="152"/>
      <c r="D559" s="82"/>
      <c r="E559" s="82"/>
    </row>
    <row r="560">
      <c r="A560" s="82"/>
      <c r="B560" s="152"/>
      <c r="C560" s="152"/>
      <c r="D560" s="82"/>
      <c r="E560" s="82"/>
    </row>
    <row r="561">
      <c r="A561" s="82"/>
      <c r="B561" s="152"/>
      <c r="C561" s="152"/>
      <c r="D561" s="82"/>
      <c r="E561" s="82"/>
    </row>
    <row r="562">
      <c r="A562" s="82"/>
      <c r="B562" s="152"/>
      <c r="C562" s="152"/>
      <c r="D562" s="82"/>
      <c r="E562" s="82"/>
    </row>
    <row r="563">
      <c r="A563" s="82"/>
      <c r="B563" s="152"/>
      <c r="C563" s="152"/>
      <c r="D563" s="82"/>
      <c r="E563" s="82"/>
    </row>
    <row r="564">
      <c r="A564" s="82"/>
      <c r="B564" s="152"/>
      <c r="C564" s="152"/>
      <c r="D564" s="82"/>
      <c r="E564" s="82"/>
    </row>
    <row r="565">
      <c r="A565" s="82"/>
      <c r="B565" s="152"/>
      <c r="C565" s="152"/>
      <c r="D565" s="82"/>
      <c r="E565" s="82"/>
    </row>
    <row r="566">
      <c r="A566" s="82"/>
      <c r="B566" s="152"/>
      <c r="C566" s="152"/>
      <c r="D566" s="82"/>
      <c r="E566" s="82"/>
    </row>
    <row r="567">
      <c r="A567" s="82"/>
      <c r="B567" s="152"/>
      <c r="C567" s="152"/>
      <c r="D567" s="82"/>
      <c r="E567" s="82"/>
    </row>
    <row r="568">
      <c r="A568" s="82"/>
      <c r="B568" s="152"/>
      <c r="C568" s="152"/>
      <c r="D568" s="82"/>
      <c r="E568" s="82"/>
    </row>
    <row r="569">
      <c r="A569" s="82"/>
      <c r="B569" s="152"/>
      <c r="C569" s="152"/>
      <c r="D569" s="82"/>
      <c r="E569" s="82"/>
    </row>
    <row r="570">
      <c r="A570" s="82"/>
      <c r="B570" s="152"/>
      <c r="C570" s="152"/>
      <c r="D570" s="82"/>
      <c r="E570" s="82"/>
    </row>
    <row r="571">
      <c r="A571" s="82"/>
      <c r="B571" s="152"/>
      <c r="C571" s="152"/>
      <c r="D571" s="82"/>
      <c r="E571" s="82"/>
    </row>
    <row r="572">
      <c r="A572" s="82"/>
      <c r="B572" s="152"/>
      <c r="C572" s="152"/>
      <c r="D572" s="82"/>
      <c r="E572" s="82"/>
    </row>
    <row r="573">
      <c r="A573" s="82"/>
      <c r="B573" s="152"/>
      <c r="C573" s="152"/>
      <c r="D573" s="82"/>
      <c r="E573" s="82"/>
    </row>
    <row r="574">
      <c r="A574" s="82"/>
      <c r="B574" s="152"/>
      <c r="C574" s="152"/>
      <c r="D574" s="82"/>
      <c r="E574" s="82"/>
    </row>
    <row r="575">
      <c r="A575" s="82"/>
      <c r="B575" s="152"/>
      <c r="C575" s="152"/>
      <c r="D575" s="82"/>
      <c r="E575" s="82"/>
    </row>
    <row r="576">
      <c r="A576" s="82"/>
      <c r="B576" s="152"/>
      <c r="C576" s="152"/>
      <c r="D576" s="82"/>
      <c r="E576" s="82"/>
    </row>
    <row r="577">
      <c r="A577" s="82"/>
      <c r="B577" s="152"/>
      <c r="C577" s="152"/>
      <c r="D577" s="82"/>
      <c r="E577" s="82"/>
    </row>
    <row r="578">
      <c r="A578" s="82"/>
      <c r="B578" s="152"/>
      <c r="C578" s="152"/>
      <c r="D578" s="82"/>
      <c r="E578" s="82"/>
    </row>
    <row r="579">
      <c r="A579" s="82"/>
      <c r="B579" s="152"/>
      <c r="C579" s="152"/>
      <c r="D579" s="82"/>
      <c r="E579" s="82"/>
    </row>
    <row r="580">
      <c r="A580" s="82"/>
      <c r="B580" s="152"/>
      <c r="C580" s="152"/>
      <c r="D580" s="82"/>
      <c r="E580" s="82"/>
    </row>
    <row r="581">
      <c r="A581" s="82"/>
      <c r="B581" s="152"/>
      <c r="C581" s="152"/>
      <c r="D581" s="82"/>
      <c r="E581" s="82"/>
    </row>
    <row r="582">
      <c r="A582" s="82"/>
      <c r="B582" s="152"/>
      <c r="C582" s="152"/>
      <c r="D582" s="82"/>
      <c r="E582" s="82"/>
    </row>
    <row r="583">
      <c r="A583" s="82"/>
      <c r="B583" s="152"/>
      <c r="C583" s="152"/>
      <c r="D583" s="82"/>
      <c r="E583" s="82"/>
    </row>
    <row r="584">
      <c r="A584" s="82"/>
      <c r="B584" s="152"/>
      <c r="C584" s="152"/>
      <c r="D584" s="82"/>
      <c r="E584" s="82"/>
    </row>
    <row r="585">
      <c r="A585" s="82"/>
      <c r="B585" s="152"/>
      <c r="C585" s="152"/>
      <c r="D585" s="82"/>
      <c r="E585" s="82"/>
    </row>
    <row r="586">
      <c r="A586" s="82"/>
      <c r="B586" s="152"/>
      <c r="C586" s="152"/>
      <c r="D586" s="82"/>
      <c r="E586" s="82"/>
    </row>
    <row r="587">
      <c r="A587" s="82"/>
      <c r="B587" s="152"/>
      <c r="C587" s="152"/>
      <c r="D587" s="82"/>
      <c r="E587" s="82"/>
    </row>
    <row r="588">
      <c r="A588" s="82"/>
      <c r="B588" s="152"/>
      <c r="C588" s="152"/>
      <c r="D588" s="82"/>
      <c r="E588" s="82"/>
    </row>
    <row r="589">
      <c r="A589" s="82"/>
      <c r="B589" s="152"/>
      <c r="C589" s="152"/>
      <c r="D589" s="82"/>
      <c r="E589" s="82"/>
    </row>
    <row r="590">
      <c r="A590" s="82"/>
      <c r="B590" s="152"/>
      <c r="C590" s="152"/>
      <c r="D590" s="82"/>
      <c r="E590" s="82"/>
    </row>
    <row r="591">
      <c r="A591" s="82"/>
      <c r="B591" s="152"/>
      <c r="C591" s="152"/>
      <c r="D591" s="82"/>
      <c r="E591" s="82"/>
    </row>
    <row r="592">
      <c r="A592" s="82"/>
      <c r="B592" s="152"/>
      <c r="C592" s="152"/>
      <c r="D592" s="82"/>
      <c r="E592" s="82"/>
    </row>
    <row r="593">
      <c r="A593" s="82"/>
      <c r="B593" s="152"/>
      <c r="C593" s="152"/>
      <c r="D593" s="82"/>
      <c r="E593" s="82"/>
    </row>
    <row r="594">
      <c r="A594" s="82"/>
      <c r="B594" s="152"/>
      <c r="C594" s="152"/>
      <c r="D594" s="82"/>
      <c r="E594" s="82"/>
    </row>
    <row r="595">
      <c r="A595" s="82"/>
      <c r="B595" s="152"/>
      <c r="C595" s="152"/>
      <c r="D595" s="82"/>
      <c r="E595" s="82"/>
    </row>
    <row r="596">
      <c r="A596" s="82"/>
      <c r="B596" s="152"/>
      <c r="C596" s="152"/>
      <c r="D596" s="82"/>
      <c r="E596" s="82"/>
    </row>
    <row r="597">
      <c r="A597" s="82"/>
      <c r="B597" s="152"/>
      <c r="C597" s="152"/>
      <c r="D597" s="82"/>
      <c r="E597" s="82"/>
    </row>
    <row r="598">
      <c r="A598" s="82"/>
      <c r="B598" s="152"/>
      <c r="C598" s="152"/>
      <c r="D598" s="82"/>
      <c r="E598" s="82"/>
    </row>
    <row r="599">
      <c r="A599" s="82"/>
      <c r="B599" s="152"/>
      <c r="C599" s="152"/>
      <c r="D599" s="82"/>
      <c r="E599" s="82"/>
    </row>
    <row r="600">
      <c r="A600" s="82"/>
      <c r="B600" s="152"/>
      <c r="C600" s="152"/>
      <c r="D600" s="82"/>
      <c r="E600" s="82"/>
    </row>
    <row r="601">
      <c r="A601" s="82"/>
      <c r="B601" s="152"/>
      <c r="C601" s="152"/>
      <c r="D601" s="82"/>
      <c r="E601" s="82"/>
    </row>
    <row r="602">
      <c r="A602" s="82"/>
      <c r="B602" s="152"/>
      <c r="C602" s="152"/>
      <c r="D602" s="82"/>
      <c r="E602" s="82"/>
    </row>
    <row r="603">
      <c r="A603" s="82"/>
      <c r="B603" s="152"/>
      <c r="C603" s="152"/>
      <c r="D603" s="82"/>
      <c r="E603" s="82"/>
    </row>
    <row r="604">
      <c r="A604" s="82"/>
      <c r="B604" s="152"/>
      <c r="C604" s="152"/>
      <c r="D604" s="82"/>
      <c r="E604" s="82"/>
    </row>
    <row r="605">
      <c r="A605" s="82"/>
      <c r="B605" s="152"/>
      <c r="C605" s="152"/>
      <c r="D605" s="82"/>
      <c r="E605" s="82"/>
    </row>
    <row r="606">
      <c r="A606" s="82"/>
      <c r="B606" s="152"/>
      <c r="C606" s="152"/>
      <c r="D606" s="82"/>
      <c r="E606" s="82"/>
    </row>
    <row r="607">
      <c r="A607" s="82"/>
      <c r="B607" s="152"/>
      <c r="C607" s="152"/>
      <c r="D607" s="82"/>
      <c r="E607" s="82"/>
    </row>
    <row r="608">
      <c r="A608" s="82"/>
      <c r="B608" s="152"/>
      <c r="C608" s="152"/>
      <c r="D608" s="82"/>
      <c r="E608" s="82"/>
    </row>
    <row r="609">
      <c r="A609" s="82"/>
      <c r="B609" s="152"/>
      <c r="C609" s="152"/>
      <c r="D609" s="82"/>
      <c r="E609" s="82"/>
    </row>
    <row r="610">
      <c r="A610" s="82"/>
      <c r="B610" s="152"/>
      <c r="C610" s="152"/>
      <c r="D610" s="82"/>
      <c r="E610" s="82"/>
    </row>
    <row r="611">
      <c r="A611" s="82"/>
      <c r="B611" s="152"/>
      <c r="C611" s="152"/>
      <c r="D611" s="82"/>
      <c r="E611" s="82"/>
    </row>
    <row r="612">
      <c r="A612" s="82"/>
      <c r="B612" s="152"/>
      <c r="C612" s="152"/>
      <c r="D612" s="82"/>
      <c r="E612" s="82"/>
    </row>
    <row r="613">
      <c r="A613" s="82"/>
      <c r="B613" s="152"/>
      <c r="C613" s="152"/>
      <c r="D613" s="82"/>
      <c r="E613" s="82"/>
    </row>
    <row r="614">
      <c r="A614" s="82"/>
      <c r="B614" s="152"/>
      <c r="C614" s="152"/>
      <c r="D614" s="82"/>
      <c r="E614" s="82"/>
    </row>
    <row r="615">
      <c r="A615" s="82"/>
      <c r="B615" s="152"/>
      <c r="C615" s="152"/>
      <c r="D615" s="82"/>
      <c r="E615" s="82"/>
    </row>
    <row r="616">
      <c r="A616" s="82"/>
      <c r="B616" s="152"/>
      <c r="C616" s="152"/>
      <c r="D616" s="82"/>
      <c r="E616" s="82"/>
    </row>
    <row r="617">
      <c r="A617" s="82"/>
      <c r="B617" s="152"/>
      <c r="C617" s="152"/>
      <c r="D617" s="82"/>
      <c r="E617" s="82"/>
    </row>
    <row r="618">
      <c r="A618" s="82"/>
      <c r="B618" s="152"/>
      <c r="C618" s="152"/>
      <c r="D618" s="82"/>
      <c r="E618" s="82"/>
    </row>
    <row r="619">
      <c r="A619" s="82"/>
      <c r="B619" s="152"/>
      <c r="C619" s="152"/>
      <c r="D619" s="82"/>
      <c r="E619" s="82"/>
    </row>
    <row r="620">
      <c r="A620" s="82"/>
      <c r="B620" s="152"/>
      <c r="C620" s="152"/>
      <c r="D620" s="82"/>
      <c r="E620" s="82"/>
    </row>
    <row r="621">
      <c r="A621" s="82"/>
      <c r="B621" s="152"/>
      <c r="C621" s="152"/>
      <c r="D621" s="82"/>
      <c r="E621" s="82"/>
    </row>
    <row r="622">
      <c r="A622" s="82"/>
      <c r="B622" s="152"/>
      <c r="C622" s="152"/>
      <c r="D622" s="82"/>
      <c r="E622" s="82"/>
    </row>
    <row r="623">
      <c r="A623" s="82"/>
      <c r="B623" s="152"/>
      <c r="C623" s="152"/>
      <c r="D623" s="82"/>
      <c r="E623" s="82"/>
    </row>
    <row r="624">
      <c r="A624" s="82"/>
      <c r="B624" s="152"/>
      <c r="C624" s="152"/>
      <c r="D624" s="82"/>
      <c r="E624" s="82"/>
    </row>
    <row r="625">
      <c r="A625" s="82"/>
      <c r="B625" s="152"/>
      <c r="C625" s="152"/>
      <c r="D625" s="82"/>
      <c r="E625" s="82"/>
    </row>
    <row r="626">
      <c r="A626" s="82"/>
      <c r="B626" s="152"/>
      <c r="C626" s="152"/>
      <c r="D626" s="82"/>
      <c r="E626" s="82"/>
    </row>
    <row r="627">
      <c r="A627" s="82"/>
      <c r="B627" s="152"/>
      <c r="C627" s="152"/>
      <c r="D627" s="82"/>
      <c r="E627" s="82"/>
    </row>
    <row r="628">
      <c r="A628" s="82"/>
      <c r="B628" s="152"/>
      <c r="C628" s="152"/>
      <c r="D628" s="82"/>
      <c r="E628" s="82"/>
    </row>
    <row r="629">
      <c r="A629" s="82"/>
      <c r="B629" s="152"/>
      <c r="C629" s="152"/>
      <c r="D629" s="82"/>
      <c r="E629" s="82"/>
    </row>
    <row r="630">
      <c r="A630" s="82"/>
      <c r="B630" s="152"/>
      <c r="C630" s="152"/>
      <c r="D630" s="82"/>
      <c r="E630" s="82"/>
    </row>
    <row r="631">
      <c r="A631" s="82"/>
      <c r="B631" s="152"/>
      <c r="C631" s="152"/>
      <c r="D631" s="82"/>
      <c r="E631" s="82"/>
    </row>
    <row r="632">
      <c r="A632" s="82"/>
      <c r="B632" s="152"/>
      <c r="C632" s="152"/>
      <c r="D632" s="82"/>
      <c r="E632" s="82"/>
    </row>
    <row r="633">
      <c r="A633" s="82"/>
      <c r="B633" s="152"/>
      <c r="C633" s="152"/>
      <c r="D633" s="82"/>
      <c r="E633" s="82"/>
    </row>
    <row r="634">
      <c r="A634" s="82"/>
      <c r="B634" s="152"/>
      <c r="C634" s="152"/>
      <c r="D634" s="82"/>
      <c r="E634" s="82"/>
    </row>
    <row r="635">
      <c r="A635" s="82"/>
      <c r="B635" s="152"/>
      <c r="C635" s="152"/>
      <c r="D635" s="82"/>
      <c r="E635" s="82"/>
    </row>
    <row r="636">
      <c r="A636" s="82"/>
      <c r="B636" s="152"/>
      <c r="C636" s="152"/>
      <c r="D636" s="82"/>
      <c r="E636" s="82"/>
    </row>
    <row r="637">
      <c r="A637" s="82"/>
      <c r="B637" s="152"/>
      <c r="C637" s="152"/>
      <c r="D637" s="82"/>
      <c r="E637" s="82"/>
    </row>
    <row r="638">
      <c r="A638" s="82"/>
      <c r="B638" s="152"/>
      <c r="C638" s="152"/>
      <c r="D638" s="82"/>
      <c r="E638" s="82"/>
    </row>
    <row r="639">
      <c r="A639" s="82"/>
      <c r="B639" s="152"/>
      <c r="C639" s="152"/>
      <c r="D639" s="82"/>
      <c r="E639" s="82"/>
    </row>
    <row r="640">
      <c r="A640" s="82"/>
      <c r="B640" s="152"/>
      <c r="C640" s="152"/>
      <c r="D640" s="82"/>
      <c r="E640" s="82"/>
    </row>
    <row r="641">
      <c r="A641" s="82"/>
      <c r="B641" s="152"/>
      <c r="C641" s="152"/>
      <c r="D641" s="82"/>
      <c r="E641" s="82"/>
    </row>
    <row r="642">
      <c r="A642" s="82"/>
      <c r="B642" s="152"/>
      <c r="C642" s="152"/>
      <c r="D642" s="82"/>
      <c r="E642" s="82"/>
    </row>
    <row r="643">
      <c r="A643" s="82"/>
      <c r="B643" s="152"/>
      <c r="C643" s="152"/>
      <c r="D643" s="82"/>
      <c r="E643" s="82"/>
    </row>
    <row r="644">
      <c r="A644" s="82"/>
      <c r="B644" s="152"/>
      <c r="C644" s="152"/>
      <c r="D644" s="82"/>
      <c r="E644" s="82"/>
    </row>
    <row r="645">
      <c r="A645" s="82"/>
      <c r="B645" s="152"/>
      <c r="C645" s="152"/>
      <c r="D645" s="82"/>
      <c r="E645" s="82"/>
    </row>
    <row r="646">
      <c r="A646" s="82"/>
      <c r="B646" s="152"/>
      <c r="C646" s="152"/>
      <c r="D646" s="82"/>
      <c r="E646" s="82"/>
    </row>
    <row r="647">
      <c r="A647" s="82"/>
      <c r="B647" s="152"/>
      <c r="C647" s="152"/>
      <c r="D647" s="82"/>
      <c r="E647" s="82"/>
    </row>
    <row r="648">
      <c r="A648" s="82"/>
      <c r="B648" s="152"/>
      <c r="C648" s="152"/>
      <c r="D648" s="82"/>
      <c r="E648" s="82"/>
    </row>
    <row r="649">
      <c r="A649" s="82"/>
      <c r="B649" s="152"/>
      <c r="C649" s="152"/>
      <c r="D649" s="82"/>
      <c r="E649" s="82"/>
    </row>
    <row r="650">
      <c r="A650" s="82"/>
      <c r="B650" s="152"/>
      <c r="C650" s="152"/>
      <c r="D650" s="82"/>
      <c r="E650" s="82"/>
    </row>
    <row r="651">
      <c r="A651" s="82"/>
      <c r="B651" s="152"/>
      <c r="C651" s="152"/>
      <c r="D651" s="82"/>
      <c r="E651" s="82"/>
    </row>
    <row r="652">
      <c r="A652" s="82"/>
      <c r="B652" s="152"/>
      <c r="C652" s="152"/>
      <c r="D652" s="82"/>
      <c r="E652" s="82"/>
    </row>
    <row r="653">
      <c r="A653" s="82"/>
      <c r="B653" s="152"/>
      <c r="C653" s="152"/>
      <c r="D653" s="82"/>
      <c r="E653" s="82"/>
    </row>
    <row r="654">
      <c r="A654" s="82"/>
      <c r="B654" s="152"/>
      <c r="C654" s="152"/>
      <c r="D654" s="82"/>
      <c r="E654" s="82"/>
    </row>
    <row r="655">
      <c r="A655" s="82"/>
      <c r="B655" s="152"/>
      <c r="C655" s="152"/>
      <c r="D655" s="82"/>
      <c r="E655" s="82"/>
    </row>
    <row r="656">
      <c r="A656" s="82"/>
      <c r="B656" s="152"/>
      <c r="C656" s="152"/>
      <c r="D656" s="82"/>
      <c r="E656" s="82"/>
    </row>
    <row r="657">
      <c r="A657" s="82"/>
      <c r="B657" s="152"/>
      <c r="C657" s="152"/>
      <c r="D657" s="82"/>
      <c r="E657" s="82"/>
    </row>
    <row r="658">
      <c r="A658" s="82"/>
      <c r="B658" s="152"/>
      <c r="C658" s="152"/>
      <c r="D658" s="82"/>
      <c r="E658" s="82"/>
    </row>
    <row r="659">
      <c r="A659" s="82"/>
      <c r="B659" s="152"/>
      <c r="C659" s="152"/>
      <c r="D659" s="82"/>
      <c r="E659" s="82"/>
    </row>
    <row r="660">
      <c r="A660" s="82"/>
      <c r="B660" s="152"/>
      <c r="C660" s="152"/>
      <c r="D660" s="82"/>
      <c r="E660" s="82"/>
    </row>
    <row r="661">
      <c r="A661" s="82"/>
      <c r="B661" s="152"/>
      <c r="C661" s="152"/>
      <c r="D661" s="82"/>
      <c r="E661" s="82"/>
    </row>
    <row r="662">
      <c r="A662" s="82"/>
      <c r="B662" s="152"/>
      <c r="C662" s="152"/>
      <c r="D662" s="82"/>
      <c r="E662" s="82"/>
    </row>
    <row r="663">
      <c r="A663" s="82"/>
      <c r="B663" s="152"/>
      <c r="C663" s="152"/>
      <c r="D663" s="82"/>
      <c r="E663" s="82"/>
    </row>
    <row r="664">
      <c r="A664" s="82"/>
      <c r="B664" s="152"/>
      <c r="C664" s="152"/>
      <c r="D664" s="82"/>
      <c r="E664" s="82"/>
    </row>
    <row r="665">
      <c r="A665" s="82"/>
      <c r="B665" s="152"/>
      <c r="C665" s="152"/>
      <c r="D665" s="82"/>
      <c r="E665" s="82"/>
    </row>
    <row r="666">
      <c r="A666" s="82"/>
      <c r="B666" s="152"/>
      <c r="C666" s="152"/>
      <c r="D666" s="82"/>
      <c r="E666" s="82"/>
    </row>
    <row r="667">
      <c r="A667" s="82"/>
      <c r="B667" s="152"/>
      <c r="C667" s="152"/>
      <c r="D667" s="82"/>
      <c r="E667" s="82"/>
    </row>
    <row r="668">
      <c r="A668" s="82"/>
      <c r="B668" s="152"/>
      <c r="C668" s="152"/>
      <c r="D668" s="82"/>
      <c r="E668" s="82"/>
    </row>
    <row r="669">
      <c r="A669" s="82"/>
      <c r="B669" s="152"/>
      <c r="C669" s="152"/>
      <c r="D669" s="82"/>
      <c r="E669" s="82"/>
    </row>
    <row r="670">
      <c r="A670" s="82"/>
      <c r="B670" s="152"/>
      <c r="C670" s="152"/>
      <c r="D670" s="82"/>
      <c r="E670" s="82"/>
    </row>
    <row r="671">
      <c r="A671" s="82"/>
      <c r="B671" s="152"/>
      <c r="C671" s="152"/>
      <c r="D671" s="82"/>
      <c r="E671" s="82"/>
    </row>
    <row r="672">
      <c r="A672" s="82"/>
      <c r="B672" s="152"/>
      <c r="C672" s="152"/>
      <c r="D672" s="82"/>
      <c r="E672" s="82"/>
    </row>
    <row r="673">
      <c r="A673" s="82"/>
      <c r="B673" s="152"/>
      <c r="C673" s="152"/>
      <c r="D673" s="82"/>
      <c r="E673" s="82"/>
    </row>
    <row r="674">
      <c r="A674" s="82"/>
      <c r="B674" s="152"/>
      <c r="C674" s="152"/>
      <c r="D674" s="82"/>
      <c r="E674" s="82"/>
    </row>
    <row r="675">
      <c r="A675" s="82"/>
      <c r="B675" s="152"/>
      <c r="C675" s="152"/>
      <c r="D675" s="82"/>
      <c r="E675" s="82"/>
    </row>
    <row r="676">
      <c r="A676" s="82"/>
      <c r="B676" s="152"/>
      <c r="C676" s="152"/>
      <c r="D676" s="82"/>
      <c r="E676" s="82"/>
    </row>
    <row r="677">
      <c r="A677" s="82"/>
      <c r="B677" s="152"/>
      <c r="C677" s="152"/>
      <c r="D677" s="82"/>
      <c r="E677" s="82"/>
    </row>
    <row r="678">
      <c r="A678" s="82"/>
      <c r="B678" s="152"/>
      <c r="C678" s="152"/>
      <c r="D678" s="82"/>
      <c r="E678" s="82"/>
    </row>
    <row r="679">
      <c r="A679" s="82"/>
      <c r="B679" s="152"/>
      <c r="C679" s="152"/>
      <c r="D679" s="82"/>
      <c r="E679" s="82"/>
    </row>
    <row r="680">
      <c r="A680" s="82"/>
      <c r="B680" s="152"/>
      <c r="C680" s="152"/>
      <c r="D680" s="82"/>
      <c r="E680" s="82"/>
    </row>
    <row r="681">
      <c r="A681" s="82"/>
      <c r="B681" s="152"/>
      <c r="C681" s="152"/>
      <c r="D681" s="82"/>
      <c r="E681" s="82"/>
    </row>
    <row r="682">
      <c r="A682" s="82"/>
      <c r="B682" s="152"/>
      <c r="C682" s="152"/>
      <c r="D682" s="82"/>
      <c r="E682" s="82"/>
    </row>
    <row r="683">
      <c r="A683" s="82"/>
      <c r="B683" s="152"/>
      <c r="C683" s="152"/>
      <c r="D683" s="82"/>
      <c r="E683" s="82"/>
    </row>
    <row r="684">
      <c r="A684" s="82"/>
      <c r="B684" s="152"/>
      <c r="C684" s="152"/>
      <c r="D684" s="82"/>
      <c r="E684" s="82"/>
    </row>
    <row r="685">
      <c r="A685" s="82"/>
      <c r="B685" s="152"/>
      <c r="C685" s="152"/>
      <c r="D685" s="82"/>
      <c r="E685" s="82"/>
    </row>
    <row r="686">
      <c r="A686" s="82"/>
      <c r="B686" s="152"/>
      <c r="C686" s="152"/>
      <c r="D686" s="82"/>
      <c r="E686" s="82"/>
    </row>
    <row r="687">
      <c r="A687" s="82"/>
      <c r="B687" s="152"/>
      <c r="C687" s="152"/>
      <c r="D687" s="82"/>
      <c r="E687" s="82"/>
    </row>
    <row r="688">
      <c r="A688" s="82"/>
      <c r="B688" s="152"/>
      <c r="C688" s="152"/>
      <c r="D688" s="82"/>
      <c r="E688" s="82"/>
    </row>
    <row r="689">
      <c r="A689" s="82"/>
      <c r="B689" s="152"/>
      <c r="C689" s="152"/>
      <c r="D689" s="82"/>
      <c r="E689" s="82"/>
    </row>
    <row r="690">
      <c r="A690" s="82"/>
      <c r="B690" s="152"/>
      <c r="C690" s="152"/>
      <c r="D690" s="82"/>
      <c r="E690" s="82"/>
    </row>
    <row r="691">
      <c r="A691" s="82"/>
      <c r="B691" s="152"/>
      <c r="C691" s="152"/>
      <c r="D691" s="82"/>
      <c r="E691" s="82"/>
    </row>
    <row r="692">
      <c r="A692" s="82"/>
      <c r="B692" s="152"/>
      <c r="C692" s="152"/>
      <c r="D692" s="82"/>
      <c r="E692" s="82"/>
    </row>
    <row r="693">
      <c r="A693" s="82"/>
      <c r="B693" s="152"/>
      <c r="C693" s="152"/>
      <c r="D693" s="82"/>
      <c r="E693" s="82"/>
    </row>
    <row r="694">
      <c r="A694" s="82"/>
      <c r="B694" s="152"/>
      <c r="C694" s="152"/>
      <c r="D694" s="82"/>
      <c r="E694" s="82"/>
    </row>
    <row r="695">
      <c r="A695" s="82"/>
      <c r="B695" s="152"/>
      <c r="C695" s="152"/>
      <c r="D695" s="82"/>
      <c r="E695" s="82"/>
    </row>
    <row r="696">
      <c r="A696" s="82"/>
      <c r="B696" s="152"/>
      <c r="C696" s="152"/>
      <c r="D696" s="82"/>
      <c r="E696" s="82"/>
    </row>
    <row r="697">
      <c r="A697" s="82"/>
      <c r="B697" s="152"/>
      <c r="C697" s="152"/>
      <c r="D697" s="82"/>
      <c r="E697" s="82"/>
    </row>
    <row r="698">
      <c r="A698" s="82"/>
      <c r="B698" s="152"/>
      <c r="C698" s="152"/>
      <c r="D698" s="82"/>
      <c r="E698" s="82"/>
    </row>
    <row r="699">
      <c r="A699" s="82"/>
      <c r="B699" s="152"/>
      <c r="C699" s="152"/>
      <c r="D699" s="82"/>
      <c r="E699" s="82"/>
    </row>
    <row r="700">
      <c r="A700" s="82"/>
      <c r="B700" s="152"/>
      <c r="C700" s="152"/>
      <c r="D700" s="82"/>
      <c r="E700" s="82"/>
    </row>
    <row r="701">
      <c r="A701" s="82"/>
      <c r="B701" s="152"/>
      <c r="C701" s="152"/>
      <c r="D701" s="82"/>
      <c r="E701" s="82"/>
    </row>
    <row r="702">
      <c r="A702" s="82"/>
      <c r="B702" s="152"/>
      <c r="C702" s="152"/>
      <c r="D702" s="82"/>
      <c r="E702" s="82"/>
    </row>
    <row r="703">
      <c r="A703" s="82"/>
      <c r="B703" s="152"/>
      <c r="C703" s="152"/>
      <c r="D703" s="82"/>
      <c r="E703" s="82"/>
    </row>
    <row r="704">
      <c r="A704" s="82"/>
      <c r="B704" s="152"/>
      <c r="C704" s="152"/>
      <c r="D704" s="82"/>
      <c r="E704" s="82"/>
    </row>
    <row r="705">
      <c r="A705" s="82"/>
      <c r="B705" s="152"/>
      <c r="C705" s="152"/>
      <c r="D705" s="82"/>
      <c r="E705" s="82"/>
    </row>
    <row r="706">
      <c r="A706" s="82"/>
      <c r="B706" s="152"/>
      <c r="C706" s="152"/>
      <c r="D706" s="82"/>
      <c r="E706" s="82"/>
    </row>
    <row r="707">
      <c r="A707" s="82"/>
      <c r="B707" s="152"/>
      <c r="C707" s="152"/>
      <c r="D707" s="82"/>
      <c r="E707" s="82"/>
    </row>
    <row r="708">
      <c r="A708" s="82"/>
      <c r="B708" s="152"/>
      <c r="C708" s="152"/>
      <c r="D708" s="82"/>
      <c r="E708" s="82"/>
    </row>
    <row r="709">
      <c r="A709" s="82"/>
      <c r="B709" s="152"/>
      <c r="C709" s="152"/>
      <c r="D709" s="82"/>
      <c r="E709" s="82"/>
    </row>
    <row r="710">
      <c r="A710" s="82"/>
      <c r="B710" s="152"/>
      <c r="C710" s="152"/>
      <c r="D710" s="82"/>
      <c r="E710" s="82"/>
    </row>
    <row r="711">
      <c r="A711" s="82"/>
      <c r="B711" s="152"/>
      <c r="C711" s="152"/>
      <c r="D711" s="82"/>
      <c r="E711" s="82"/>
    </row>
    <row r="712">
      <c r="A712" s="82"/>
      <c r="B712" s="152"/>
      <c r="C712" s="152"/>
      <c r="D712" s="82"/>
      <c r="E712" s="82"/>
    </row>
    <row r="713">
      <c r="A713" s="82"/>
      <c r="B713" s="152"/>
      <c r="C713" s="152"/>
      <c r="D713" s="82"/>
      <c r="E713" s="82"/>
    </row>
    <row r="714">
      <c r="A714" s="82"/>
      <c r="B714" s="152"/>
      <c r="C714" s="152"/>
      <c r="D714" s="82"/>
      <c r="E714" s="82"/>
    </row>
    <row r="715">
      <c r="A715" s="82"/>
      <c r="B715" s="152"/>
      <c r="C715" s="152"/>
      <c r="D715" s="82"/>
      <c r="E715" s="82"/>
    </row>
    <row r="716">
      <c r="A716" s="82"/>
      <c r="B716" s="152"/>
      <c r="C716" s="152"/>
      <c r="D716" s="82"/>
      <c r="E716" s="82"/>
    </row>
    <row r="717">
      <c r="A717" s="82"/>
      <c r="B717" s="152"/>
      <c r="C717" s="152"/>
      <c r="D717" s="82"/>
      <c r="E717" s="82"/>
    </row>
    <row r="718">
      <c r="A718" s="82"/>
      <c r="B718" s="152"/>
      <c r="C718" s="152"/>
      <c r="D718" s="82"/>
      <c r="E718" s="82"/>
    </row>
    <row r="719">
      <c r="A719" s="82"/>
      <c r="B719" s="152"/>
      <c r="C719" s="152"/>
      <c r="D719" s="82"/>
      <c r="E719" s="82"/>
    </row>
    <row r="720">
      <c r="A720" s="82"/>
      <c r="B720" s="152"/>
      <c r="C720" s="152"/>
      <c r="D720" s="82"/>
      <c r="E720" s="82"/>
    </row>
    <row r="721">
      <c r="A721" s="82"/>
      <c r="B721" s="152"/>
      <c r="C721" s="152"/>
      <c r="D721" s="82"/>
      <c r="E721" s="82"/>
    </row>
    <row r="722">
      <c r="A722" s="82"/>
      <c r="B722" s="152"/>
      <c r="C722" s="152"/>
      <c r="D722" s="82"/>
      <c r="E722" s="82"/>
    </row>
    <row r="723">
      <c r="A723" s="82"/>
      <c r="B723" s="152"/>
      <c r="C723" s="152"/>
      <c r="D723" s="82"/>
      <c r="E723" s="82"/>
    </row>
    <row r="724">
      <c r="A724" s="82"/>
      <c r="B724" s="152"/>
      <c r="C724" s="152"/>
      <c r="D724" s="82"/>
      <c r="E724" s="82"/>
    </row>
    <row r="725">
      <c r="A725" s="82"/>
      <c r="B725" s="152"/>
      <c r="C725" s="152"/>
      <c r="D725" s="82"/>
      <c r="E725" s="82"/>
    </row>
    <row r="726">
      <c r="A726" s="82"/>
      <c r="B726" s="152"/>
      <c r="C726" s="152"/>
      <c r="D726" s="82"/>
      <c r="E726" s="82"/>
    </row>
    <row r="727">
      <c r="A727" s="82"/>
      <c r="B727" s="152"/>
      <c r="C727" s="152"/>
      <c r="D727" s="82"/>
      <c r="E727" s="82"/>
    </row>
    <row r="728">
      <c r="A728" s="82"/>
      <c r="B728" s="152"/>
      <c r="C728" s="152"/>
      <c r="D728" s="82"/>
      <c r="E728" s="82"/>
    </row>
    <row r="729">
      <c r="A729" s="82"/>
      <c r="B729" s="152"/>
      <c r="C729" s="152"/>
      <c r="D729" s="82"/>
      <c r="E729" s="82"/>
    </row>
    <row r="730">
      <c r="A730" s="82"/>
      <c r="B730" s="152"/>
      <c r="C730" s="152"/>
      <c r="D730" s="82"/>
      <c r="E730" s="82"/>
    </row>
    <row r="731">
      <c r="A731" s="82"/>
      <c r="B731" s="152"/>
      <c r="C731" s="152"/>
      <c r="D731" s="82"/>
      <c r="E731" s="82"/>
    </row>
    <row r="732">
      <c r="A732" s="82"/>
      <c r="B732" s="152"/>
      <c r="C732" s="152"/>
      <c r="D732" s="82"/>
      <c r="E732" s="82"/>
    </row>
    <row r="733">
      <c r="A733" s="82"/>
      <c r="B733" s="152"/>
      <c r="C733" s="152"/>
      <c r="D733" s="82"/>
      <c r="E733" s="82"/>
    </row>
    <row r="734">
      <c r="A734" s="82"/>
      <c r="B734" s="152"/>
      <c r="C734" s="152"/>
      <c r="D734" s="82"/>
      <c r="E734" s="82"/>
    </row>
    <row r="735">
      <c r="A735" s="82"/>
      <c r="B735" s="152"/>
      <c r="C735" s="152"/>
      <c r="D735" s="82"/>
      <c r="E735" s="82"/>
    </row>
    <row r="736">
      <c r="A736" s="82"/>
      <c r="B736" s="152"/>
      <c r="C736" s="152"/>
      <c r="D736" s="82"/>
      <c r="E736" s="82"/>
    </row>
    <row r="737">
      <c r="A737" s="82"/>
      <c r="B737" s="152"/>
      <c r="C737" s="152"/>
      <c r="D737" s="82"/>
      <c r="E737" s="82"/>
    </row>
    <row r="738">
      <c r="A738" s="82"/>
      <c r="B738" s="152"/>
      <c r="C738" s="152"/>
      <c r="D738" s="82"/>
      <c r="E738" s="82"/>
    </row>
    <row r="739">
      <c r="A739" s="82"/>
      <c r="B739" s="152"/>
      <c r="C739" s="152"/>
      <c r="D739" s="82"/>
      <c r="E739" s="82"/>
    </row>
    <row r="740">
      <c r="A740" s="82"/>
      <c r="B740" s="152"/>
      <c r="C740" s="152"/>
      <c r="D740" s="82"/>
      <c r="E740" s="82"/>
    </row>
    <row r="741">
      <c r="A741" s="82"/>
      <c r="B741" s="152"/>
      <c r="C741" s="152"/>
      <c r="D741" s="82"/>
      <c r="E741" s="82"/>
    </row>
    <row r="742">
      <c r="A742" s="82"/>
      <c r="B742" s="152"/>
      <c r="C742" s="152"/>
      <c r="D742" s="82"/>
      <c r="E742" s="82"/>
    </row>
    <row r="743">
      <c r="A743" s="82"/>
      <c r="B743" s="152"/>
      <c r="C743" s="152"/>
      <c r="D743" s="82"/>
      <c r="E743" s="82"/>
    </row>
    <row r="744">
      <c r="A744" s="82"/>
      <c r="B744" s="152"/>
      <c r="C744" s="152"/>
      <c r="D744" s="82"/>
      <c r="E744" s="82"/>
    </row>
    <row r="745">
      <c r="A745" s="82"/>
      <c r="B745" s="152"/>
      <c r="C745" s="152"/>
      <c r="D745" s="82"/>
      <c r="E745" s="82"/>
    </row>
    <row r="746">
      <c r="A746" s="82"/>
      <c r="B746" s="152"/>
      <c r="C746" s="152"/>
      <c r="D746" s="82"/>
      <c r="E746" s="82"/>
    </row>
    <row r="747">
      <c r="A747" s="82"/>
      <c r="B747" s="152"/>
      <c r="C747" s="152"/>
      <c r="D747" s="82"/>
      <c r="E747" s="82"/>
    </row>
    <row r="748">
      <c r="A748" s="82"/>
      <c r="B748" s="152"/>
      <c r="C748" s="152"/>
      <c r="D748" s="82"/>
      <c r="E748" s="82"/>
    </row>
    <row r="749">
      <c r="A749" s="82"/>
      <c r="B749" s="152"/>
      <c r="C749" s="152"/>
      <c r="D749" s="82"/>
      <c r="E749" s="82"/>
    </row>
    <row r="750">
      <c r="A750" s="82"/>
      <c r="B750" s="152"/>
      <c r="C750" s="152"/>
      <c r="D750" s="82"/>
      <c r="E750" s="82"/>
    </row>
    <row r="751">
      <c r="A751" s="82"/>
      <c r="B751" s="152"/>
      <c r="C751" s="152"/>
      <c r="D751" s="82"/>
      <c r="E751" s="82"/>
    </row>
    <row r="752">
      <c r="A752" s="82"/>
      <c r="B752" s="152"/>
      <c r="C752" s="152"/>
      <c r="D752" s="82"/>
      <c r="E752" s="82"/>
    </row>
    <row r="753">
      <c r="A753" s="82"/>
      <c r="B753" s="152"/>
      <c r="C753" s="152"/>
      <c r="D753" s="82"/>
      <c r="E753" s="82"/>
    </row>
    <row r="754">
      <c r="A754" s="82"/>
      <c r="B754" s="152"/>
      <c r="C754" s="152"/>
      <c r="D754" s="82"/>
      <c r="E754" s="82"/>
    </row>
    <row r="755">
      <c r="A755" s="82"/>
      <c r="B755" s="152"/>
      <c r="C755" s="152"/>
      <c r="D755" s="82"/>
      <c r="E755" s="82"/>
    </row>
    <row r="756">
      <c r="A756" s="82"/>
      <c r="B756" s="152"/>
      <c r="C756" s="152"/>
      <c r="D756" s="82"/>
      <c r="E756" s="82"/>
    </row>
    <row r="757">
      <c r="A757" s="82"/>
      <c r="B757" s="152"/>
      <c r="C757" s="152"/>
      <c r="D757" s="82"/>
      <c r="E757" s="82"/>
    </row>
    <row r="758">
      <c r="A758" s="82"/>
      <c r="B758" s="152"/>
      <c r="C758" s="152"/>
      <c r="D758" s="82"/>
      <c r="E758" s="82"/>
    </row>
    <row r="759">
      <c r="A759" s="82"/>
      <c r="B759" s="152"/>
      <c r="C759" s="152"/>
      <c r="D759" s="82"/>
      <c r="E759" s="82"/>
    </row>
    <row r="760">
      <c r="A760" s="82"/>
      <c r="B760" s="152"/>
      <c r="C760" s="152"/>
      <c r="D760" s="82"/>
      <c r="E760" s="82"/>
    </row>
    <row r="761">
      <c r="A761" s="82"/>
      <c r="B761" s="152"/>
      <c r="C761" s="152"/>
      <c r="D761" s="82"/>
      <c r="E761" s="82"/>
    </row>
    <row r="762">
      <c r="A762" s="82"/>
      <c r="B762" s="152"/>
      <c r="C762" s="152"/>
      <c r="D762" s="82"/>
      <c r="E762" s="82"/>
    </row>
    <row r="763">
      <c r="A763" s="82"/>
      <c r="B763" s="152"/>
      <c r="C763" s="152"/>
      <c r="D763" s="82"/>
      <c r="E763" s="82"/>
    </row>
    <row r="764">
      <c r="A764" s="82"/>
      <c r="B764" s="152"/>
      <c r="C764" s="152"/>
      <c r="D764" s="82"/>
      <c r="E764" s="82"/>
    </row>
    <row r="765">
      <c r="A765" s="82"/>
      <c r="B765" s="152"/>
      <c r="C765" s="152"/>
      <c r="D765" s="82"/>
      <c r="E765" s="82"/>
    </row>
    <row r="766">
      <c r="A766" s="82"/>
      <c r="B766" s="152"/>
      <c r="C766" s="152"/>
      <c r="D766" s="82"/>
      <c r="E766" s="82"/>
    </row>
    <row r="767">
      <c r="A767" s="82"/>
      <c r="B767" s="152"/>
      <c r="C767" s="152"/>
      <c r="D767" s="82"/>
      <c r="E767" s="82"/>
    </row>
    <row r="768">
      <c r="A768" s="82"/>
      <c r="B768" s="152"/>
      <c r="C768" s="152"/>
      <c r="D768" s="82"/>
      <c r="E768" s="82"/>
    </row>
    <row r="769">
      <c r="A769" s="82"/>
      <c r="B769" s="152"/>
      <c r="C769" s="152"/>
      <c r="D769" s="82"/>
      <c r="E769" s="82"/>
    </row>
    <row r="770">
      <c r="A770" s="82"/>
      <c r="B770" s="152"/>
      <c r="C770" s="152"/>
      <c r="D770" s="82"/>
      <c r="E770" s="82"/>
    </row>
    <row r="771">
      <c r="A771" s="82"/>
      <c r="B771" s="152"/>
      <c r="C771" s="152"/>
      <c r="D771" s="82"/>
      <c r="E771" s="82"/>
    </row>
    <row r="772">
      <c r="A772" s="82"/>
      <c r="B772" s="152"/>
      <c r="C772" s="152"/>
      <c r="D772" s="82"/>
      <c r="E772" s="82"/>
    </row>
    <row r="773">
      <c r="A773" s="82"/>
      <c r="B773" s="152"/>
      <c r="C773" s="152"/>
      <c r="D773" s="82"/>
      <c r="E773" s="82"/>
    </row>
    <row r="774">
      <c r="A774" s="82"/>
      <c r="B774" s="152"/>
      <c r="C774" s="152"/>
      <c r="D774" s="82"/>
      <c r="E774" s="82"/>
    </row>
    <row r="775">
      <c r="A775" s="82"/>
      <c r="B775" s="152"/>
      <c r="C775" s="152"/>
      <c r="D775" s="82"/>
      <c r="E775" s="82"/>
    </row>
    <row r="776">
      <c r="A776" s="82"/>
      <c r="B776" s="152"/>
      <c r="C776" s="152"/>
      <c r="D776" s="82"/>
      <c r="E776" s="82"/>
    </row>
    <row r="777">
      <c r="A777" s="82"/>
      <c r="B777" s="152"/>
      <c r="C777" s="152"/>
      <c r="D777" s="82"/>
      <c r="E777" s="82"/>
    </row>
    <row r="778">
      <c r="A778" s="82"/>
      <c r="B778" s="152"/>
      <c r="C778" s="152"/>
      <c r="D778" s="82"/>
      <c r="E778" s="82"/>
    </row>
    <row r="779">
      <c r="A779" s="82"/>
      <c r="B779" s="152"/>
      <c r="C779" s="152"/>
      <c r="D779" s="82"/>
      <c r="E779" s="82"/>
    </row>
    <row r="780">
      <c r="A780" s="82"/>
      <c r="B780" s="152"/>
      <c r="C780" s="152"/>
      <c r="D780" s="82"/>
      <c r="E780" s="82"/>
    </row>
    <row r="781">
      <c r="A781" s="82"/>
      <c r="B781" s="152"/>
      <c r="C781" s="152"/>
      <c r="D781" s="82"/>
      <c r="E781" s="82"/>
    </row>
    <row r="782">
      <c r="A782" s="82"/>
      <c r="B782" s="152"/>
      <c r="C782" s="152"/>
      <c r="D782" s="82"/>
      <c r="E782" s="82"/>
    </row>
    <row r="783">
      <c r="A783" s="82"/>
      <c r="B783" s="152"/>
      <c r="C783" s="152"/>
      <c r="D783" s="82"/>
      <c r="E783" s="82"/>
    </row>
    <row r="784">
      <c r="A784" s="82"/>
      <c r="B784" s="152"/>
      <c r="C784" s="152"/>
      <c r="D784" s="82"/>
      <c r="E784" s="82"/>
    </row>
    <row r="785">
      <c r="A785" s="82"/>
      <c r="B785" s="152"/>
      <c r="C785" s="152"/>
      <c r="D785" s="82"/>
      <c r="E785" s="82"/>
    </row>
    <row r="786">
      <c r="A786" s="82"/>
      <c r="B786" s="152"/>
      <c r="C786" s="152"/>
      <c r="D786" s="82"/>
      <c r="E786" s="82"/>
    </row>
    <row r="787">
      <c r="A787" s="82"/>
      <c r="B787" s="152"/>
      <c r="C787" s="152"/>
      <c r="D787" s="82"/>
      <c r="E787" s="82"/>
    </row>
    <row r="788">
      <c r="A788" s="82"/>
      <c r="B788" s="152"/>
      <c r="C788" s="152"/>
      <c r="D788" s="82"/>
      <c r="E788" s="82"/>
    </row>
    <row r="789">
      <c r="A789" s="82"/>
      <c r="B789" s="152"/>
      <c r="C789" s="152"/>
      <c r="D789" s="82"/>
      <c r="E789" s="82"/>
    </row>
    <row r="790">
      <c r="A790" s="82"/>
      <c r="B790" s="152"/>
      <c r="C790" s="152"/>
      <c r="D790" s="82"/>
      <c r="E790" s="82"/>
    </row>
    <row r="791">
      <c r="A791" s="82"/>
      <c r="B791" s="152"/>
      <c r="C791" s="152"/>
      <c r="D791" s="82"/>
      <c r="E791" s="82"/>
    </row>
    <row r="792">
      <c r="A792" s="82"/>
      <c r="B792" s="152"/>
      <c r="C792" s="152"/>
      <c r="D792" s="82"/>
      <c r="E792" s="82"/>
    </row>
    <row r="793">
      <c r="A793" s="82"/>
      <c r="B793" s="152"/>
      <c r="C793" s="152"/>
      <c r="D793" s="82"/>
      <c r="E793" s="82"/>
    </row>
    <row r="794">
      <c r="A794" s="82"/>
      <c r="B794" s="152"/>
      <c r="C794" s="152"/>
      <c r="D794" s="82"/>
      <c r="E794" s="82"/>
    </row>
    <row r="795">
      <c r="A795" s="82"/>
      <c r="B795" s="152"/>
      <c r="C795" s="152"/>
      <c r="D795" s="82"/>
      <c r="E795" s="82"/>
    </row>
    <row r="796">
      <c r="A796" s="82"/>
      <c r="B796" s="152"/>
      <c r="C796" s="152"/>
      <c r="D796" s="82"/>
      <c r="E796" s="82"/>
    </row>
    <row r="797">
      <c r="A797" s="82"/>
      <c r="B797" s="152"/>
      <c r="C797" s="152"/>
      <c r="D797" s="82"/>
      <c r="E797" s="82"/>
    </row>
    <row r="798">
      <c r="A798" s="82"/>
      <c r="B798" s="152"/>
      <c r="C798" s="152"/>
      <c r="D798" s="82"/>
      <c r="E798" s="82"/>
    </row>
    <row r="799">
      <c r="A799" s="82"/>
      <c r="B799" s="152"/>
      <c r="C799" s="152"/>
      <c r="D799" s="82"/>
      <c r="E799" s="82"/>
    </row>
    <row r="800">
      <c r="A800" s="82"/>
      <c r="B800" s="152"/>
      <c r="C800" s="152"/>
      <c r="D800" s="82"/>
      <c r="E800" s="82"/>
    </row>
    <row r="801">
      <c r="A801" s="82"/>
      <c r="B801" s="152"/>
      <c r="C801" s="152"/>
      <c r="D801" s="82"/>
      <c r="E801" s="82"/>
    </row>
    <row r="802">
      <c r="A802" s="82"/>
      <c r="B802" s="152"/>
      <c r="C802" s="152"/>
      <c r="D802" s="82"/>
      <c r="E802" s="82"/>
    </row>
    <row r="803">
      <c r="A803" s="82"/>
      <c r="B803" s="152"/>
      <c r="C803" s="152"/>
      <c r="D803" s="82"/>
      <c r="E803" s="82"/>
    </row>
    <row r="804">
      <c r="A804" s="82"/>
      <c r="B804" s="152"/>
      <c r="C804" s="152"/>
      <c r="D804" s="82"/>
      <c r="E804" s="82"/>
    </row>
    <row r="805">
      <c r="A805" s="82"/>
      <c r="B805" s="152"/>
      <c r="C805" s="152"/>
      <c r="D805" s="82"/>
      <c r="E805" s="82"/>
    </row>
    <row r="806">
      <c r="A806" s="82"/>
      <c r="B806" s="152"/>
      <c r="C806" s="152"/>
      <c r="D806" s="82"/>
      <c r="E806" s="82"/>
    </row>
    <row r="807">
      <c r="A807" s="82"/>
      <c r="B807" s="152"/>
      <c r="C807" s="152"/>
      <c r="D807" s="82"/>
      <c r="E807" s="82"/>
    </row>
    <row r="808">
      <c r="A808" s="82"/>
      <c r="B808" s="152"/>
      <c r="C808" s="152"/>
      <c r="D808" s="82"/>
      <c r="E808" s="82"/>
    </row>
    <row r="809">
      <c r="A809" s="82"/>
      <c r="B809" s="152"/>
      <c r="C809" s="152"/>
      <c r="D809" s="82"/>
      <c r="E809" s="82"/>
    </row>
    <row r="810">
      <c r="A810" s="82"/>
      <c r="B810" s="152"/>
      <c r="C810" s="152"/>
      <c r="D810" s="82"/>
      <c r="E810" s="82"/>
    </row>
    <row r="811">
      <c r="A811" s="82"/>
      <c r="B811" s="152"/>
      <c r="C811" s="152"/>
      <c r="D811" s="82"/>
      <c r="E811" s="82"/>
    </row>
    <row r="812">
      <c r="A812" s="82"/>
      <c r="B812" s="152"/>
      <c r="C812" s="152"/>
      <c r="D812" s="82"/>
      <c r="E812" s="82"/>
    </row>
    <row r="813">
      <c r="A813" s="82"/>
      <c r="B813" s="152"/>
      <c r="C813" s="152"/>
      <c r="D813" s="82"/>
      <c r="E813" s="82"/>
    </row>
    <row r="814">
      <c r="A814" s="82"/>
      <c r="B814" s="152"/>
      <c r="C814" s="152"/>
      <c r="D814" s="82"/>
      <c r="E814" s="82"/>
    </row>
    <row r="815">
      <c r="A815" s="82"/>
      <c r="B815" s="152"/>
      <c r="C815" s="152"/>
      <c r="D815" s="82"/>
      <c r="E815" s="82"/>
    </row>
    <row r="816">
      <c r="A816" s="82"/>
      <c r="B816" s="152"/>
      <c r="C816" s="152"/>
      <c r="D816" s="82"/>
      <c r="E816" s="82"/>
    </row>
    <row r="817">
      <c r="A817" s="82"/>
      <c r="B817" s="152"/>
      <c r="C817" s="152"/>
      <c r="D817" s="82"/>
      <c r="E817" s="82"/>
    </row>
    <row r="818">
      <c r="A818" s="82"/>
      <c r="B818" s="152"/>
      <c r="C818" s="152"/>
      <c r="D818" s="82"/>
      <c r="E818" s="82"/>
    </row>
    <row r="819">
      <c r="A819" s="82"/>
      <c r="B819" s="152"/>
      <c r="C819" s="152"/>
      <c r="D819" s="82"/>
      <c r="E819" s="82"/>
    </row>
    <row r="820">
      <c r="A820" s="82"/>
      <c r="B820" s="152"/>
      <c r="C820" s="152"/>
      <c r="D820" s="82"/>
      <c r="E820" s="82"/>
    </row>
    <row r="821">
      <c r="A821" s="82"/>
      <c r="B821" s="152"/>
      <c r="C821" s="152"/>
      <c r="D821" s="82"/>
      <c r="E821" s="82"/>
    </row>
    <row r="822">
      <c r="A822" s="82"/>
      <c r="B822" s="152"/>
      <c r="C822" s="152"/>
      <c r="D822" s="82"/>
      <c r="E822" s="82"/>
    </row>
    <row r="823">
      <c r="A823" s="82"/>
      <c r="B823" s="152"/>
      <c r="C823" s="152"/>
      <c r="D823" s="82"/>
      <c r="E823" s="82"/>
    </row>
    <row r="824">
      <c r="A824" s="82"/>
      <c r="B824" s="152"/>
      <c r="C824" s="152"/>
      <c r="D824" s="82"/>
      <c r="E824" s="82"/>
    </row>
    <row r="825">
      <c r="A825" s="82"/>
      <c r="B825" s="152"/>
      <c r="C825" s="152"/>
      <c r="D825" s="82"/>
      <c r="E825" s="82"/>
    </row>
    <row r="826">
      <c r="A826" s="82"/>
      <c r="B826" s="152"/>
      <c r="C826" s="152"/>
      <c r="D826" s="82"/>
      <c r="E826" s="82"/>
    </row>
    <row r="827">
      <c r="A827" s="82"/>
      <c r="B827" s="152"/>
      <c r="C827" s="152"/>
      <c r="D827" s="82"/>
      <c r="E827" s="82"/>
    </row>
    <row r="828">
      <c r="A828" s="82"/>
      <c r="B828" s="152"/>
      <c r="C828" s="152"/>
      <c r="D828" s="82"/>
      <c r="E828" s="82"/>
    </row>
    <row r="829">
      <c r="A829" s="82"/>
      <c r="B829" s="152"/>
      <c r="C829" s="152"/>
      <c r="D829" s="82"/>
      <c r="E829" s="82"/>
    </row>
    <row r="830">
      <c r="A830" s="82"/>
      <c r="B830" s="152"/>
      <c r="C830" s="152"/>
      <c r="D830" s="82"/>
      <c r="E830" s="82"/>
    </row>
    <row r="831">
      <c r="A831" s="82"/>
      <c r="B831" s="152"/>
      <c r="C831" s="152"/>
      <c r="D831" s="82"/>
      <c r="E831" s="82"/>
    </row>
    <row r="832">
      <c r="A832" s="82"/>
      <c r="B832" s="152"/>
      <c r="C832" s="152"/>
      <c r="D832" s="82"/>
      <c r="E832" s="82"/>
    </row>
    <row r="833">
      <c r="A833" s="82"/>
      <c r="B833" s="152"/>
      <c r="C833" s="152"/>
      <c r="D833" s="82"/>
      <c r="E833" s="82"/>
    </row>
    <row r="834">
      <c r="A834" s="82"/>
      <c r="B834" s="152"/>
      <c r="C834" s="152"/>
      <c r="D834" s="82"/>
      <c r="E834" s="82"/>
    </row>
    <row r="835">
      <c r="A835" s="82"/>
      <c r="B835" s="152"/>
      <c r="C835" s="152"/>
      <c r="D835" s="82"/>
      <c r="E835" s="82"/>
    </row>
    <row r="836">
      <c r="A836" s="82"/>
      <c r="B836" s="152"/>
      <c r="C836" s="152"/>
      <c r="D836" s="82"/>
      <c r="E836" s="82"/>
    </row>
    <row r="837">
      <c r="A837" s="82"/>
      <c r="B837" s="152"/>
      <c r="C837" s="152"/>
      <c r="D837" s="82"/>
      <c r="E837" s="82"/>
    </row>
    <row r="838">
      <c r="A838" s="82"/>
      <c r="B838" s="152"/>
      <c r="C838" s="152"/>
      <c r="D838" s="82"/>
      <c r="E838" s="82"/>
    </row>
    <row r="839">
      <c r="A839" s="82"/>
      <c r="B839" s="152"/>
      <c r="C839" s="152"/>
      <c r="D839" s="82"/>
      <c r="E839" s="82"/>
    </row>
    <row r="840">
      <c r="A840" s="82"/>
      <c r="B840" s="152"/>
      <c r="C840" s="152"/>
      <c r="D840" s="82"/>
      <c r="E840" s="82"/>
    </row>
    <row r="841">
      <c r="A841" s="82"/>
      <c r="B841" s="152"/>
      <c r="C841" s="152"/>
      <c r="D841" s="82"/>
      <c r="E841" s="82"/>
    </row>
    <row r="842">
      <c r="A842" s="82"/>
      <c r="B842" s="152"/>
      <c r="C842" s="152"/>
      <c r="D842" s="82"/>
      <c r="E842" s="82"/>
    </row>
    <row r="843">
      <c r="A843" s="82"/>
      <c r="B843" s="152"/>
      <c r="C843" s="152"/>
      <c r="D843" s="82"/>
      <c r="E843" s="82"/>
    </row>
    <row r="844">
      <c r="A844" s="82"/>
      <c r="B844" s="152"/>
      <c r="C844" s="152"/>
      <c r="D844" s="82"/>
      <c r="E844" s="82"/>
    </row>
    <row r="845">
      <c r="A845" s="82"/>
      <c r="B845" s="152"/>
      <c r="C845" s="152"/>
      <c r="D845" s="82"/>
      <c r="E845" s="82"/>
    </row>
    <row r="846">
      <c r="A846" s="82"/>
      <c r="B846" s="152"/>
      <c r="C846" s="152"/>
      <c r="D846" s="82"/>
      <c r="E846" s="82"/>
    </row>
    <row r="847">
      <c r="A847" s="82"/>
      <c r="B847" s="152"/>
      <c r="C847" s="152"/>
      <c r="D847" s="82"/>
      <c r="E847" s="82"/>
    </row>
    <row r="848">
      <c r="A848" s="82"/>
      <c r="B848" s="152"/>
      <c r="C848" s="152"/>
      <c r="D848" s="82"/>
      <c r="E848" s="82"/>
    </row>
    <row r="849">
      <c r="A849" s="82"/>
      <c r="B849" s="152"/>
      <c r="C849" s="152"/>
      <c r="D849" s="82"/>
      <c r="E849" s="82"/>
    </row>
    <row r="850">
      <c r="A850" s="82"/>
      <c r="B850" s="152"/>
      <c r="C850" s="152"/>
      <c r="D850" s="82"/>
      <c r="E850" s="82"/>
    </row>
    <row r="851">
      <c r="A851" s="82"/>
      <c r="B851" s="152"/>
      <c r="C851" s="152"/>
      <c r="D851" s="82"/>
      <c r="E851" s="82"/>
    </row>
    <row r="852">
      <c r="A852" s="82"/>
      <c r="B852" s="152"/>
      <c r="C852" s="152"/>
      <c r="D852" s="82"/>
      <c r="E852" s="82"/>
    </row>
    <row r="853">
      <c r="A853" s="82"/>
      <c r="B853" s="152"/>
      <c r="C853" s="152"/>
      <c r="D853" s="82"/>
      <c r="E853" s="82"/>
    </row>
    <row r="854">
      <c r="A854" s="82"/>
      <c r="B854" s="152"/>
      <c r="C854" s="152"/>
      <c r="D854" s="82"/>
      <c r="E854" s="82"/>
    </row>
    <row r="855">
      <c r="A855" s="82"/>
      <c r="B855" s="152"/>
      <c r="C855" s="152"/>
      <c r="D855" s="82"/>
      <c r="E855" s="82"/>
    </row>
    <row r="856">
      <c r="A856" s="82"/>
      <c r="B856" s="152"/>
      <c r="C856" s="152"/>
      <c r="D856" s="82"/>
      <c r="E856" s="82"/>
    </row>
    <row r="857">
      <c r="A857" s="82"/>
      <c r="B857" s="152"/>
      <c r="C857" s="152"/>
      <c r="D857" s="82"/>
      <c r="E857" s="82"/>
    </row>
    <row r="858">
      <c r="A858" s="82"/>
      <c r="B858" s="152"/>
      <c r="C858" s="152"/>
      <c r="D858" s="82"/>
      <c r="E858" s="82"/>
    </row>
    <row r="859">
      <c r="A859" s="82"/>
      <c r="B859" s="152"/>
      <c r="C859" s="152"/>
      <c r="D859" s="82"/>
      <c r="E859" s="82"/>
    </row>
    <row r="860">
      <c r="A860" s="82"/>
      <c r="B860" s="152"/>
      <c r="C860" s="152"/>
      <c r="D860" s="82"/>
      <c r="E860" s="82"/>
    </row>
    <row r="861">
      <c r="A861" s="82"/>
      <c r="B861" s="152"/>
      <c r="C861" s="152"/>
      <c r="D861" s="82"/>
      <c r="E861" s="82"/>
    </row>
    <row r="862">
      <c r="A862" s="82"/>
      <c r="B862" s="152"/>
      <c r="C862" s="152"/>
      <c r="D862" s="82"/>
      <c r="E862" s="82"/>
    </row>
    <row r="863">
      <c r="A863" s="82"/>
      <c r="B863" s="152"/>
      <c r="C863" s="152"/>
      <c r="D863" s="82"/>
      <c r="E863" s="82"/>
    </row>
    <row r="864">
      <c r="A864" s="82"/>
      <c r="B864" s="152"/>
      <c r="C864" s="152"/>
      <c r="D864" s="82"/>
      <c r="E864" s="82"/>
    </row>
    <row r="865">
      <c r="A865" s="82"/>
      <c r="B865" s="152"/>
      <c r="C865" s="152"/>
      <c r="D865" s="82"/>
      <c r="E865" s="82"/>
    </row>
    <row r="866">
      <c r="A866" s="82"/>
      <c r="B866" s="152"/>
      <c r="C866" s="152"/>
      <c r="D866" s="82"/>
      <c r="E866" s="82"/>
    </row>
    <row r="867">
      <c r="A867" s="82"/>
      <c r="B867" s="152"/>
      <c r="C867" s="152"/>
      <c r="D867" s="82"/>
      <c r="E867" s="82"/>
    </row>
    <row r="868">
      <c r="A868" s="82"/>
      <c r="B868" s="152"/>
      <c r="C868" s="152"/>
      <c r="D868" s="82"/>
      <c r="E868" s="82"/>
    </row>
    <row r="869">
      <c r="A869" s="82"/>
      <c r="B869" s="152"/>
      <c r="C869" s="152"/>
      <c r="D869" s="82"/>
      <c r="E869" s="82"/>
    </row>
    <row r="870">
      <c r="A870" s="82"/>
      <c r="B870" s="152"/>
      <c r="C870" s="152"/>
      <c r="D870" s="82"/>
      <c r="E870" s="82"/>
    </row>
    <row r="871">
      <c r="A871" s="82"/>
      <c r="B871" s="152"/>
      <c r="C871" s="152"/>
      <c r="D871" s="82"/>
      <c r="E871" s="82"/>
    </row>
    <row r="872">
      <c r="A872" s="82"/>
      <c r="B872" s="152"/>
      <c r="C872" s="152"/>
      <c r="D872" s="82"/>
      <c r="E872" s="82"/>
    </row>
    <row r="873">
      <c r="A873" s="82"/>
      <c r="B873" s="152"/>
      <c r="C873" s="152"/>
      <c r="D873" s="82"/>
      <c r="E873" s="82"/>
    </row>
    <row r="874">
      <c r="A874" s="82"/>
      <c r="B874" s="152"/>
      <c r="C874" s="152"/>
      <c r="D874" s="82"/>
      <c r="E874" s="82"/>
    </row>
    <row r="875">
      <c r="A875" s="82"/>
      <c r="B875" s="152"/>
      <c r="C875" s="152"/>
      <c r="D875" s="82"/>
      <c r="E875" s="82"/>
    </row>
    <row r="876">
      <c r="A876" s="82"/>
      <c r="B876" s="152"/>
      <c r="C876" s="152"/>
      <c r="D876" s="82"/>
      <c r="E876" s="82"/>
    </row>
    <row r="877">
      <c r="A877" s="82"/>
      <c r="B877" s="152"/>
      <c r="C877" s="152"/>
      <c r="D877" s="82"/>
      <c r="E877" s="82"/>
    </row>
    <row r="878">
      <c r="A878" s="82"/>
      <c r="B878" s="152"/>
      <c r="C878" s="152"/>
      <c r="D878" s="82"/>
      <c r="E878" s="82"/>
    </row>
    <row r="879">
      <c r="A879" s="82"/>
      <c r="B879" s="152"/>
      <c r="C879" s="152"/>
      <c r="D879" s="82"/>
      <c r="E879" s="82"/>
    </row>
    <row r="880">
      <c r="A880" s="82"/>
      <c r="B880" s="152"/>
      <c r="C880" s="152"/>
      <c r="D880" s="82"/>
      <c r="E880" s="82"/>
    </row>
    <row r="881">
      <c r="A881" s="82"/>
      <c r="B881" s="152"/>
      <c r="C881" s="152"/>
      <c r="D881" s="82"/>
      <c r="E881" s="82"/>
    </row>
    <row r="882">
      <c r="A882" s="82"/>
      <c r="B882" s="152"/>
      <c r="C882" s="152"/>
      <c r="D882" s="82"/>
      <c r="E882" s="82"/>
    </row>
    <row r="883">
      <c r="A883" s="82"/>
      <c r="B883" s="152"/>
      <c r="C883" s="152"/>
      <c r="D883" s="82"/>
      <c r="E883" s="82"/>
    </row>
    <row r="884">
      <c r="A884" s="82"/>
      <c r="B884" s="152"/>
      <c r="C884" s="152"/>
      <c r="D884" s="82"/>
      <c r="E884" s="82"/>
    </row>
    <row r="885">
      <c r="A885" s="82"/>
      <c r="B885" s="152"/>
      <c r="C885" s="152"/>
      <c r="D885" s="82"/>
      <c r="E885" s="82"/>
    </row>
    <row r="886">
      <c r="A886" s="82"/>
      <c r="B886" s="152"/>
      <c r="C886" s="152"/>
      <c r="D886" s="82"/>
      <c r="E886" s="82"/>
    </row>
    <row r="887">
      <c r="A887" s="82"/>
      <c r="B887" s="152"/>
      <c r="C887" s="152"/>
      <c r="D887" s="82"/>
      <c r="E887" s="82"/>
    </row>
    <row r="888">
      <c r="A888" s="82"/>
      <c r="B888" s="152"/>
      <c r="C888" s="152"/>
      <c r="D888" s="82"/>
      <c r="E888" s="82"/>
    </row>
    <row r="889">
      <c r="A889" s="82"/>
      <c r="B889" s="152"/>
      <c r="C889" s="152"/>
      <c r="D889" s="82"/>
      <c r="E889" s="82"/>
    </row>
    <row r="890">
      <c r="A890" s="82"/>
      <c r="B890" s="152"/>
      <c r="C890" s="152"/>
      <c r="D890" s="82"/>
      <c r="E890" s="82"/>
    </row>
    <row r="891">
      <c r="A891" s="82"/>
      <c r="B891" s="152"/>
      <c r="C891" s="152"/>
      <c r="D891" s="82"/>
      <c r="E891" s="82"/>
    </row>
    <row r="892">
      <c r="A892" s="82"/>
      <c r="B892" s="152"/>
      <c r="C892" s="152"/>
      <c r="D892" s="82"/>
      <c r="E892" s="82"/>
    </row>
    <row r="893">
      <c r="A893" s="82"/>
      <c r="B893" s="152"/>
      <c r="C893" s="152"/>
      <c r="D893" s="82"/>
      <c r="E893" s="82"/>
    </row>
    <row r="894">
      <c r="A894" s="82"/>
      <c r="B894" s="152"/>
      <c r="C894" s="152"/>
      <c r="D894" s="82"/>
      <c r="E894" s="82"/>
    </row>
    <row r="895">
      <c r="A895" s="82"/>
      <c r="B895" s="152"/>
      <c r="C895" s="152"/>
      <c r="D895" s="82"/>
      <c r="E895" s="82"/>
    </row>
    <row r="896">
      <c r="A896" s="82"/>
      <c r="B896" s="152"/>
      <c r="C896" s="152"/>
      <c r="D896" s="82"/>
      <c r="E896" s="82"/>
    </row>
    <row r="897">
      <c r="A897" s="82"/>
      <c r="B897" s="152"/>
      <c r="C897" s="152"/>
      <c r="D897" s="82"/>
      <c r="E897" s="82"/>
    </row>
    <row r="898">
      <c r="A898" s="82"/>
      <c r="B898" s="152"/>
      <c r="C898" s="152"/>
      <c r="D898" s="82"/>
      <c r="E898" s="82"/>
    </row>
    <row r="899">
      <c r="A899" s="82"/>
      <c r="B899" s="152"/>
      <c r="C899" s="152"/>
      <c r="D899" s="82"/>
      <c r="E899" s="82"/>
    </row>
    <row r="900">
      <c r="A900" s="82"/>
      <c r="B900" s="152"/>
      <c r="C900" s="152"/>
      <c r="D900" s="82"/>
      <c r="E900" s="82"/>
    </row>
    <row r="901">
      <c r="A901" s="82"/>
      <c r="B901" s="152"/>
      <c r="C901" s="152"/>
      <c r="D901" s="82"/>
      <c r="E901" s="82"/>
    </row>
    <row r="902">
      <c r="A902" s="82"/>
      <c r="B902" s="152"/>
      <c r="C902" s="152"/>
      <c r="D902" s="82"/>
      <c r="E902" s="82"/>
    </row>
    <row r="903">
      <c r="A903" s="82"/>
      <c r="B903" s="152"/>
      <c r="C903" s="152"/>
      <c r="D903" s="82"/>
      <c r="E903" s="82"/>
    </row>
    <row r="904">
      <c r="A904" s="82"/>
      <c r="B904" s="152"/>
      <c r="C904" s="152"/>
      <c r="D904" s="82"/>
      <c r="E904" s="82"/>
    </row>
    <row r="905">
      <c r="A905" s="82"/>
      <c r="B905" s="152"/>
      <c r="C905" s="152"/>
      <c r="D905" s="82"/>
      <c r="E905" s="82"/>
    </row>
    <row r="906">
      <c r="A906" s="82"/>
      <c r="B906" s="152"/>
      <c r="C906" s="152"/>
      <c r="D906" s="82"/>
      <c r="E906" s="82"/>
    </row>
    <row r="907">
      <c r="A907" s="82"/>
      <c r="B907" s="152"/>
      <c r="C907" s="152"/>
      <c r="D907" s="82"/>
      <c r="E907" s="82"/>
    </row>
    <row r="908">
      <c r="A908" s="82"/>
      <c r="B908" s="152"/>
      <c r="C908" s="152"/>
      <c r="D908" s="82"/>
      <c r="E908" s="82"/>
    </row>
    <row r="909">
      <c r="A909" s="82"/>
      <c r="B909" s="152"/>
      <c r="C909" s="152"/>
      <c r="D909" s="82"/>
      <c r="E909" s="82"/>
    </row>
    <row r="910">
      <c r="A910" s="82"/>
      <c r="B910" s="152"/>
      <c r="C910" s="152"/>
      <c r="D910" s="82"/>
      <c r="E910" s="82"/>
    </row>
    <row r="911">
      <c r="A911" s="82"/>
      <c r="B911" s="152"/>
      <c r="C911" s="152"/>
      <c r="D911" s="82"/>
      <c r="E911" s="82"/>
    </row>
    <row r="912">
      <c r="A912" s="82"/>
      <c r="B912" s="152"/>
      <c r="C912" s="152"/>
      <c r="D912" s="82"/>
      <c r="E912" s="82"/>
    </row>
    <row r="913">
      <c r="A913" s="82"/>
      <c r="B913" s="152"/>
      <c r="C913" s="152"/>
      <c r="D913" s="82"/>
      <c r="E913" s="82"/>
    </row>
    <row r="914">
      <c r="A914" s="82"/>
      <c r="B914" s="152"/>
      <c r="C914" s="152"/>
      <c r="D914" s="82"/>
      <c r="E914" s="82"/>
    </row>
    <row r="915">
      <c r="A915" s="82"/>
      <c r="B915" s="152"/>
      <c r="C915" s="152"/>
      <c r="D915" s="82"/>
      <c r="E915" s="82"/>
    </row>
    <row r="916">
      <c r="A916" s="82"/>
      <c r="B916" s="152"/>
      <c r="C916" s="152"/>
      <c r="D916" s="82"/>
      <c r="E916" s="82"/>
    </row>
    <row r="917">
      <c r="A917" s="82"/>
      <c r="B917" s="152"/>
      <c r="C917" s="152"/>
      <c r="D917" s="82"/>
      <c r="E917" s="82"/>
    </row>
    <row r="918">
      <c r="A918" s="82"/>
      <c r="B918" s="152"/>
      <c r="C918" s="152"/>
      <c r="D918" s="82"/>
      <c r="E918" s="82"/>
    </row>
    <row r="919">
      <c r="A919" s="82"/>
      <c r="B919" s="152"/>
      <c r="C919" s="152"/>
      <c r="D919" s="82"/>
      <c r="E919" s="82"/>
    </row>
    <row r="920">
      <c r="A920" s="82"/>
      <c r="B920" s="152"/>
      <c r="C920" s="152"/>
      <c r="D920" s="82"/>
      <c r="E920" s="82"/>
    </row>
    <row r="921">
      <c r="A921" s="82"/>
      <c r="B921" s="152"/>
      <c r="C921" s="152"/>
      <c r="D921" s="82"/>
      <c r="E921" s="82"/>
    </row>
    <row r="922">
      <c r="A922" s="82"/>
      <c r="B922" s="152"/>
      <c r="C922" s="152"/>
      <c r="D922" s="82"/>
      <c r="E922" s="82"/>
    </row>
    <row r="923">
      <c r="A923" s="82"/>
      <c r="B923" s="152"/>
      <c r="C923" s="152"/>
      <c r="D923" s="82"/>
      <c r="E923" s="82"/>
    </row>
    <row r="924">
      <c r="A924" s="82"/>
      <c r="B924" s="152"/>
      <c r="C924" s="152"/>
      <c r="D924" s="82"/>
      <c r="E924" s="82"/>
    </row>
    <row r="925">
      <c r="A925" s="82"/>
      <c r="B925" s="152"/>
      <c r="C925" s="152"/>
      <c r="D925" s="82"/>
      <c r="E925" s="82"/>
    </row>
    <row r="926">
      <c r="A926" s="82"/>
      <c r="B926" s="152"/>
      <c r="C926" s="152"/>
      <c r="D926" s="82"/>
      <c r="E926" s="82"/>
    </row>
    <row r="927">
      <c r="A927" s="82"/>
      <c r="B927" s="152"/>
      <c r="C927" s="152"/>
      <c r="D927" s="82"/>
      <c r="E927" s="82"/>
    </row>
    <row r="928">
      <c r="A928" s="82"/>
      <c r="B928" s="152"/>
      <c r="C928" s="152"/>
      <c r="D928" s="82"/>
      <c r="E928" s="82"/>
    </row>
    <row r="929">
      <c r="A929" s="82"/>
      <c r="B929" s="152"/>
      <c r="C929" s="152"/>
      <c r="D929" s="82"/>
      <c r="E929" s="82"/>
    </row>
    <row r="930">
      <c r="A930" s="82"/>
      <c r="B930" s="152"/>
      <c r="C930" s="152"/>
      <c r="D930" s="82"/>
      <c r="E930" s="82"/>
    </row>
    <row r="931">
      <c r="A931" s="82"/>
      <c r="B931" s="152"/>
      <c r="C931" s="152"/>
      <c r="D931" s="82"/>
      <c r="E931" s="82"/>
    </row>
    <row r="932">
      <c r="A932" s="82"/>
      <c r="B932" s="152"/>
      <c r="C932" s="152"/>
      <c r="D932" s="82"/>
      <c r="E932" s="82"/>
    </row>
    <row r="933">
      <c r="A933" s="82"/>
      <c r="B933" s="152"/>
      <c r="C933" s="152"/>
      <c r="D933" s="82"/>
      <c r="E933" s="82"/>
    </row>
    <row r="934">
      <c r="A934" s="82"/>
      <c r="B934" s="152"/>
      <c r="C934" s="152"/>
      <c r="D934" s="82"/>
      <c r="E934" s="82"/>
    </row>
    <row r="935">
      <c r="A935" s="82"/>
      <c r="B935" s="152"/>
      <c r="C935" s="152"/>
      <c r="D935" s="82"/>
      <c r="E935" s="82"/>
    </row>
    <row r="936">
      <c r="A936" s="82"/>
      <c r="B936" s="152"/>
      <c r="C936" s="152"/>
      <c r="D936" s="82"/>
      <c r="E936" s="82"/>
    </row>
    <row r="937">
      <c r="A937" s="82"/>
      <c r="B937" s="152"/>
      <c r="C937" s="152"/>
      <c r="D937" s="82"/>
      <c r="E937" s="82"/>
    </row>
    <row r="938">
      <c r="A938" s="82"/>
      <c r="B938" s="152"/>
      <c r="C938" s="152"/>
      <c r="D938" s="82"/>
      <c r="E938" s="82"/>
    </row>
    <row r="939">
      <c r="A939" s="82"/>
      <c r="B939" s="152"/>
      <c r="C939" s="152"/>
      <c r="D939" s="82"/>
      <c r="E939" s="82"/>
    </row>
    <row r="940">
      <c r="A940" s="82"/>
      <c r="B940" s="152"/>
      <c r="C940" s="152"/>
      <c r="D940" s="82"/>
      <c r="E940" s="82"/>
    </row>
    <row r="941">
      <c r="A941" s="82"/>
      <c r="B941" s="152"/>
      <c r="C941" s="152"/>
      <c r="D941" s="82"/>
      <c r="E941" s="82"/>
    </row>
    <row r="942">
      <c r="A942" s="82"/>
      <c r="B942" s="152"/>
      <c r="C942" s="152"/>
      <c r="D942" s="82"/>
      <c r="E942" s="82"/>
    </row>
    <row r="943">
      <c r="A943" s="82"/>
      <c r="B943" s="152"/>
      <c r="C943" s="152"/>
      <c r="D943" s="82"/>
      <c r="E943" s="82"/>
    </row>
    <row r="944">
      <c r="A944" s="82"/>
      <c r="B944" s="152"/>
      <c r="C944" s="152"/>
      <c r="D944" s="82"/>
      <c r="E944" s="82"/>
    </row>
    <row r="945">
      <c r="A945" s="82"/>
      <c r="B945" s="152"/>
      <c r="C945" s="152"/>
      <c r="D945" s="82"/>
      <c r="E945" s="82"/>
    </row>
    <row r="946">
      <c r="A946" s="82"/>
      <c r="B946" s="152"/>
      <c r="C946" s="152"/>
      <c r="D946" s="82"/>
      <c r="E946" s="82"/>
    </row>
    <row r="947">
      <c r="A947" s="82"/>
      <c r="B947" s="152"/>
      <c r="C947" s="152"/>
      <c r="D947" s="82"/>
      <c r="E947" s="82"/>
    </row>
    <row r="948">
      <c r="A948" s="82"/>
      <c r="B948" s="152"/>
      <c r="C948" s="152"/>
      <c r="D948" s="82"/>
      <c r="E948" s="82"/>
    </row>
    <row r="949">
      <c r="A949" s="82"/>
      <c r="B949" s="152"/>
      <c r="C949" s="152"/>
      <c r="D949" s="82"/>
      <c r="E949" s="82"/>
    </row>
    <row r="950">
      <c r="A950" s="82"/>
      <c r="B950" s="152"/>
      <c r="C950" s="152"/>
      <c r="D950" s="82"/>
      <c r="E950" s="82"/>
    </row>
    <row r="951">
      <c r="A951" s="82"/>
      <c r="B951" s="152"/>
      <c r="C951" s="152"/>
      <c r="D951" s="82"/>
      <c r="E951" s="82"/>
    </row>
    <row r="952">
      <c r="A952" s="82"/>
      <c r="B952" s="152"/>
      <c r="C952" s="152"/>
      <c r="D952" s="82"/>
      <c r="E952" s="82"/>
    </row>
    <row r="953">
      <c r="A953" s="82"/>
      <c r="B953" s="152"/>
      <c r="C953" s="152"/>
      <c r="D953" s="82"/>
      <c r="E953" s="82"/>
    </row>
    <row r="954">
      <c r="A954" s="82"/>
      <c r="B954" s="152"/>
      <c r="C954" s="152"/>
      <c r="D954" s="82"/>
      <c r="E954" s="82"/>
    </row>
    <row r="955">
      <c r="A955" s="82"/>
      <c r="B955" s="152"/>
      <c r="C955" s="152"/>
      <c r="D955" s="82"/>
      <c r="E955" s="82"/>
    </row>
    <row r="956">
      <c r="A956" s="82"/>
      <c r="B956" s="152"/>
      <c r="C956" s="152"/>
      <c r="D956" s="82"/>
      <c r="E956" s="82"/>
    </row>
    <row r="957">
      <c r="A957" s="82"/>
      <c r="B957" s="152"/>
      <c r="C957" s="152"/>
      <c r="D957" s="82"/>
      <c r="E957" s="82"/>
    </row>
    <row r="958">
      <c r="A958" s="82"/>
      <c r="B958" s="152"/>
      <c r="C958" s="152"/>
      <c r="D958" s="82"/>
      <c r="E958" s="82"/>
    </row>
    <row r="959">
      <c r="A959" s="82"/>
      <c r="B959" s="152"/>
      <c r="C959" s="152"/>
      <c r="D959" s="82"/>
      <c r="E959" s="82"/>
    </row>
    <row r="960">
      <c r="A960" s="82"/>
      <c r="B960" s="152"/>
      <c r="C960" s="152"/>
      <c r="D960" s="82"/>
      <c r="E960" s="82"/>
    </row>
    <row r="961">
      <c r="A961" s="82"/>
      <c r="B961" s="152"/>
      <c r="C961" s="152"/>
      <c r="D961" s="82"/>
      <c r="E961" s="82"/>
    </row>
    <row r="962">
      <c r="A962" s="82"/>
      <c r="B962" s="152"/>
      <c r="C962" s="152"/>
      <c r="D962" s="82"/>
      <c r="E962" s="82"/>
    </row>
    <row r="963">
      <c r="A963" s="82"/>
      <c r="B963" s="152"/>
      <c r="C963" s="152"/>
      <c r="D963" s="82"/>
      <c r="E963" s="82"/>
    </row>
    <row r="964">
      <c r="A964" s="82"/>
      <c r="B964" s="152"/>
      <c r="C964" s="152"/>
      <c r="D964" s="82"/>
      <c r="E964" s="82"/>
    </row>
    <row r="965">
      <c r="A965" s="82"/>
      <c r="B965" s="152"/>
      <c r="C965" s="152"/>
      <c r="D965" s="82"/>
      <c r="E965" s="82"/>
    </row>
    <row r="966">
      <c r="A966" s="82"/>
      <c r="B966" s="152"/>
      <c r="C966" s="152"/>
      <c r="D966" s="82"/>
      <c r="E966" s="82"/>
    </row>
    <row r="967">
      <c r="A967" s="82"/>
      <c r="B967" s="152"/>
      <c r="C967" s="152"/>
      <c r="D967" s="82"/>
      <c r="E967" s="82"/>
    </row>
    <row r="968">
      <c r="A968" s="82"/>
      <c r="B968" s="152"/>
      <c r="C968" s="152"/>
      <c r="D968" s="82"/>
      <c r="E968" s="82"/>
    </row>
    <row r="969">
      <c r="A969" s="82"/>
      <c r="B969" s="152"/>
      <c r="C969" s="152"/>
      <c r="D969" s="82"/>
      <c r="E969" s="82"/>
    </row>
    <row r="970">
      <c r="A970" s="82"/>
      <c r="B970" s="152"/>
      <c r="C970" s="152"/>
      <c r="D970" s="82"/>
      <c r="E970" s="82"/>
    </row>
    <row r="971">
      <c r="A971" s="82"/>
      <c r="B971" s="152"/>
      <c r="C971" s="152"/>
      <c r="D971" s="82"/>
      <c r="E971" s="82"/>
    </row>
    <row r="972">
      <c r="A972" s="82"/>
      <c r="B972" s="152"/>
      <c r="C972" s="152"/>
      <c r="D972" s="82"/>
      <c r="E972" s="82"/>
    </row>
    <row r="973">
      <c r="A973" s="82"/>
      <c r="B973" s="152"/>
      <c r="C973" s="152"/>
      <c r="D973" s="82"/>
      <c r="E973" s="82"/>
    </row>
    <row r="974">
      <c r="A974" s="82"/>
      <c r="B974" s="152"/>
      <c r="C974" s="152"/>
      <c r="D974" s="82"/>
      <c r="E974" s="82"/>
    </row>
    <row r="975">
      <c r="A975" s="82"/>
      <c r="B975" s="152"/>
      <c r="C975" s="152"/>
      <c r="D975" s="82"/>
      <c r="E975" s="82"/>
    </row>
    <row r="976">
      <c r="A976" s="82"/>
      <c r="B976" s="152"/>
      <c r="C976" s="152"/>
      <c r="D976" s="82"/>
      <c r="E976" s="82"/>
    </row>
    <row r="977">
      <c r="A977" s="82"/>
      <c r="B977" s="152"/>
      <c r="C977" s="152"/>
      <c r="D977" s="82"/>
      <c r="E977" s="82"/>
    </row>
    <row r="978">
      <c r="A978" s="82"/>
      <c r="B978" s="152"/>
      <c r="C978" s="152"/>
      <c r="D978" s="82"/>
      <c r="E978" s="82"/>
    </row>
    <row r="979">
      <c r="A979" s="82"/>
      <c r="B979" s="152"/>
      <c r="C979" s="152"/>
      <c r="D979" s="82"/>
      <c r="E979" s="82"/>
    </row>
    <row r="980">
      <c r="A980" s="82"/>
      <c r="B980" s="152"/>
      <c r="C980" s="152"/>
      <c r="D980" s="82"/>
      <c r="E980" s="82"/>
    </row>
    <row r="981">
      <c r="A981" s="82"/>
      <c r="B981" s="152"/>
      <c r="C981" s="152"/>
      <c r="D981" s="82"/>
      <c r="E981" s="82"/>
    </row>
    <row r="982">
      <c r="A982" s="82"/>
      <c r="B982" s="152"/>
      <c r="C982" s="152"/>
      <c r="D982" s="82"/>
      <c r="E982" s="82"/>
    </row>
    <row r="983">
      <c r="A983" s="82"/>
      <c r="B983" s="152"/>
      <c r="C983" s="152"/>
      <c r="D983" s="82"/>
      <c r="E983" s="82"/>
    </row>
    <row r="984">
      <c r="A984" s="82"/>
      <c r="B984" s="152"/>
      <c r="C984" s="152"/>
      <c r="D984" s="82"/>
      <c r="E984" s="82"/>
    </row>
    <row r="985">
      <c r="A985" s="82"/>
      <c r="B985" s="152"/>
      <c r="C985" s="152"/>
      <c r="D985" s="82"/>
      <c r="E985" s="82"/>
    </row>
    <row r="986">
      <c r="A986" s="82"/>
      <c r="B986" s="152"/>
      <c r="C986" s="152"/>
      <c r="D986" s="82"/>
      <c r="E986" s="82"/>
    </row>
    <row r="987">
      <c r="A987" s="82"/>
      <c r="B987" s="152"/>
      <c r="C987" s="152"/>
      <c r="D987" s="82"/>
      <c r="E987" s="82"/>
    </row>
    <row r="988">
      <c r="A988" s="82"/>
      <c r="B988" s="152"/>
      <c r="C988" s="152"/>
      <c r="D988" s="82"/>
      <c r="E988" s="82"/>
    </row>
    <row r="989">
      <c r="A989" s="82"/>
      <c r="B989" s="152"/>
      <c r="C989" s="152"/>
      <c r="D989" s="82"/>
      <c r="E989" s="82"/>
    </row>
    <row r="990">
      <c r="A990" s="82"/>
      <c r="B990" s="152"/>
      <c r="C990" s="152"/>
      <c r="D990" s="82"/>
      <c r="E990" s="82"/>
    </row>
    <row r="991">
      <c r="A991" s="82"/>
      <c r="B991" s="152"/>
      <c r="C991" s="152"/>
      <c r="D991" s="82"/>
      <c r="E991" s="82"/>
    </row>
    <row r="992">
      <c r="A992" s="82"/>
      <c r="B992" s="152"/>
      <c r="C992" s="152"/>
      <c r="D992" s="82"/>
      <c r="E992" s="82"/>
    </row>
    <row r="993">
      <c r="A993" s="82"/>
      <c r="B993" s="152"/>
      <c r="C993" s="152"/>
      <c r="D993" s="82"/>
      <c r="E993" s="82"/>
    </row>
    <row r="994">
      <c r="A994" s="82"/>
      <c r="B994" s="152"/>
      <c r="C994" s="152"/>
      <c r="D994" s="82"/>
      <c r="E994" s="82"/>
    </row>
    <row r="995">
      <c r="A995" s="82"/>
      <c r="B995" s="152"/>
      <c r="C995" s="152"/>
      <c r="D995" s="82"/>
      <c r="E995" s="82"/>
    </row>
    <row r="996">
      <c r="A996" s="82"/>
      <c r="B996" s="152"/>
      <c r="C996" s="152"/>
      <c r="D996" s="82"/>
      <c r="E996" s="82"/>
    </row>
    <row r="997">
      <c r="A997" s="82"/>
      <c r="B997" s="152"/>
      <c r="C997" s="152"/>
      <c r="D997" s="82"/>
      <c r="E997" s="82"/>
    </row>
    <row r="998">
      <c r="A998" s="82"/>
      <c r="B998" s="152"/>
      <c r="C998" s="152"/>
      <c r="D998" s="82"/>
      <c r="E998" s="82"/>
    </row>
    <row r="999">
      <c r="A999" s="82"/>
      <c r="B999" s="152"/>
      <c r="C999" s="152"/>
      <c r="D999" s="82"/>
      <c r="E999" s="82"/>
    </row>
    <row r="1000">
      <c r="A1000" s="82"/>
      <c r="B1000" s="152"/>
      <c r="C1000" s="152"/>
      <c r="D1000" s="82"/>
      <c r="E1000" s="82"/>
    </row>
  </sheetData>
  <conditionalFormatting sqref="D1:E1000">
    <cfRule type="cellIs" dxfId="5" priority="1" operator="lessThan">
      <formula>0</formula>
    </cfRule>
  </conditionalFormatting>
  <dataValidations>
    <dataValidation type="custom" allowBlank="1" showDropDown="1" sqref="A2:A190">
      <formula1>OR(NOT(ISERROR(DATEVALUE(A2))), AND(ISNUMBER(A2), LEFT(CELL("format", A2))="D"))</formula1>
    </dataValidation>
    <dataValidation type="custom" allowBlank="1" showDropDown="1" sqref="E2:E190">
      <formula1>AND(ISNUMBER(E2),(NOT(OR(NOT(ISERROR(DATEVALUE(E2))), AND(ISNUMBER(E2), LEFT(CELL("format", E2))="D")))))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2" width="3.5"/>
    <col customWidth="1" min="14" max="14" width="24.88"/>
  </cols>
  <sheetData>
    <row r="1">
      <c r="A1" s="153" t="s">
        <v>164</v>
      </c>
      <c r="B1" s="154">
        <v>46143.0</v>
      </c>
      <c r="D1" s="40" t="s">
        <v>165</v>
      </c>
      <c r="E1" s="155">
        <f>SUM(E3:E20)</f>
        <v>-21124.07</v>
      </c>
      <c r="F1" s="40" t="s">
        <v>166</v>
      </c>
      <c r="G1" s="155">
        <f>SUM(G3:G20)</f>
        <v>23000</v>
      </c>
      <c r="M1" s="156" t="s">
        <v>167</v>
      </c>
      <c r="P1" s="157">
        <f>SUM(P3:P1000)</f>
        <v>-20124.07</v>
      </c>
    </row>
    <row r="2">
      <c r="A2" s="153" t="s">
        <v>168</v>
      </c>
      <c r="B2" s="158">
        <v>46173.0</v>
      </c>
      <c r="D2" s="159" t="s">
        <v>169</v>
      </c>
      <c r="E2" s="160" t="s">
        <v>2</v>
      </c>
      <c r="F2" s="159" t="s">
        <v>169</v>
      </c>
      <c r="G2" s="160" t="s">
        <v>2</v>
      </c>
      <c r="P2" s="155"/>
    </row>
    <row r="3">
      <c r="D3" s="82" t="str">
        <f>IFERROR(__xludf.DUMMYFUNCTION("QUERY(TB_BASE,
    ""select A, sum(D)
     where C &gt;= date '""&amp;TEXT(B1,""yyyy-mm-dd"")&amp;""'
       and C &lt;= date '""&amp;TEXT(B2,""yyyy-mm-dd"")&amp;""'
       and H = 'Saída'
     group by A
     order by sum(D) asc
     label sum(D) ''"")
"),"Impostos")</f>
        <v>Impostos</v>
      </c>
      <c r="E3" s="152">
        <f>IFERROR(__xludf.DUMMYFUNCTION("""COMPUTED_VALUE"""),-4379.5)</f>
        <v>-4379.5</v>
      </c>
      <c r="F3" s="82" t="str">
        <f>IFERROR(__xludf.DUMMYFUNCTION("QUERY(TB_BASE,
    ""select A, sum(D)
     where C &gt;= date '""&amp;TEXT(B1,""yyyy-mm-dd"")&amp;""'
       and C &lt;= date '""&amp;TEXT(B2,""yyyy-mm-dd"")&amp;""'
       and H = 'Entrada'
     group by A
     order by sum(D) asc
     label sum(D) ''"")"),"Moradia")</f>
        <v>Moradia</v>
      </c>
      <c r="G3" s="152">
        <f>IFERROR(__xludf.DUMMYFUNCTION("""COMPUTED_VALUE"""),1000.0)</f>
        <v>1000</v>
      </c>
      <c r="M3" s="40" t="str">
        <f>IFERROR(__xludf.DUMMYFUNCTION("QUERY(TB_BASE,
    ""select A,B,C, sum(D)
     where C &gt;= date '""&amp;TEXT(B1,""yyyy-mm-dd"")&amp;""'
       and C &lt;= date '""&amp;TEXT(B2,""yyyy-mm-dd"")&amp;""'
       and A &lt;&gt; 'Salário'
       and E = 'NÃO PAGO'
     group by A,B,C
     order by C asc
     label sum("&amp;"D) ''"")"),"Alimentação")</f>
        <v>Alimentação</v>
      </c>
      <c r="N3" s="161" t="str">
        <f>IFERROR(__xludf.DUMMYFUNCTION("""COMPUTED_VALUE"""),"Alimentação Mensal")</f>
        <v>Alimentação Mensal</v>
      </c>
      <c r="O3" s="162">
        <f>IFERROR(__xludf.DUMMYFUNCTION("""COMPUTED_VALUE"""),46143.0)</f>
        <v>46143</v>
      </c>
      <c r="P3" s="155">
        <f>IFERROR(__xludf.DUMMYFUNCTION("""COMPUTED_VALUE"""),-800.0)</f>
        <v>-800</v>
      </c>
    </row>
    <row r="4">
      <c r="D4" s="82" t="str">
        <f>IFERROR(__xludf.DUMMYFUNCTION("""COMPUTED_VALUE"""),"Pensões")</f>
        <v>Pensões</v>
      </c>
      <c r="E4" s="152">
        <f>IFERROR(__xludf.DUMMYFUNCTION("""COMPUTED_VALUE"""),-4174.0)</f>
        <v>-4174</v>
      </c>
      <c r="F4" s="82" t="str">
        <f>IFERROR(__xludf.DUMMYFUNCTION("""COMPUTED_VALUE"""),"Salário")</f>
        <v>Salário</v>
      </c>
      <c r="G4" s="152">
        <f>IFERROR(__xludf.DUMMYFUNCTION("""COMPUTED_VALUE"""),22000.0)</f>
        <v>22000</v>
      </c>
      <c r="M4" s="161" t="str">
        <f>IFERROR(__xludf.DUMMYFUNCTION("""COMPUTED_VALUE"""),"Contas Básicas")</f>
        <v>Contas Básicas</v>
      </c>
      <c r="N4" s="161" t="str">
        <f>IFERROR(__xludf.DUMMYFUNCTION("""COMPUTED_VALUE"""),"Farmácia")</f>
        <v>Farmácia</v>
      </c>
      <c r="O4" s="162">
        <f>IFERROR(__xludf.DUMMYFUNCTION("""COMPUTED_VALUE"""),46143.0)</f>
        <v>46143</v>
      </c>
      <c r="P4" s="155">
        <f>IFERROR(__xludf.DUMMYFUNCTION("""COMPUTED_VALUE"""),-500.0)</f>
        <v>-500</v>
      </c>
    </row>
    <row r="5">
      <c r="D5" s="82" t="str">
        <f>IFERROR(__xludf.DUMMYFUNCTION("""COMPUTED_VALUE"""),"Moradia")</f>
        <v>Moradia</v>
      </c>
      <c r="E5" s="152">
        <f>IFERROR(__xludf.DUMMYFUNCTION("""COMPUTED_VALUE"""),-3671.1400000000003)</f>
        <v>-3671.14</v>
      </c>
      <c r="F5" s="82"/>
      <c r="G5" s="152"/>
      <c r="M5" s="161" t="str">
        <f>IFERROR(__xludf.DUMMYFUNCTION("""COMPUTED_VALUE"""),"Impostos")</f>
        <v>Impostos</v>
      </c>
      <c r="N5" s="161" t="str">
        <f>IFERROR(__xludf.DUMMYFUNCTION("""COMPUTED_VALUE"""),"L&amp;B Solutions - Contador")</f>
        <v>L&amp;B Solutions - Contador</v>
      </c>
      <c r="O5" s="162">
        <f>IFERROR(__xludf.DUMMYFUNCTION("""COMPUTED_VALUE"""),46143.0)</f>
        <v>46143</v>
      </c>
      <c r="P5" s="155">
        <f>IFERROR(__xludf.DUMMYFUNCTION("""COMPUTED_VALUE"""),-379.5)</f>
        <v>-379.5</v>
      </c>
    </row>
    <row r="6">
      <c r="D6" s="82" t="str">
        <f>IFERROR(__xludf.DUMMYFUNCTION("""COMPUTED_VALUE"""),"Saúde")</f>
        <v>Saúde</v>
      </c>
      <c r="E6" s="152">
        <f>IFERROR(__xludf.DUMMYFUNCTION("""COMPUTED_VALUE"""),-3058.47)</f>
        <v>-3058.47</v>
      </c>
      <c r="F6" s="82"/>
      <c r="G6" s="152"/>
      <c r="M6" s="161" t="str">
        <f>IFERROR(__xludf.DUMMYFUNCTION("""COMPUTED_VALUE"""),"Impostos")</f>
        <v>Impostos</v>
      </c>
      <c r="N6" s="161" t="str">
        <f>IFERROR(__xludf.DUMMYFUNCTION("""COMPUTED_VALUE"""),"L&amp;B Solutions - Impostos")</f>
        <v>L&amp;B Solutions - Impostos</v>
      </c>
      <c r="O6" s="162">
        <f>IFERROR(__xludf.DUMMYFUNCTION("""COMPUTED_VALUE"""),46143.0)</f>
        <v>46143</v>
      </c>
      <c r="P6" s="155">
        <f>IFERROR(__xludf.DUMMYFUNCTION("""COMPUTED_VALUE"""),-4000.0)</f>
        <v>-4000</v>
      </c>
    </row>
    <row r="7">
      <c r="D7" s="82" t="str">
        <f>IFERROR(__xludf.DUMMYFUNCTION("""COMPUTED_VALUE"""),"Livre")</f>
        <v>Livre</v>
      </c>
      <c r="E7" s="152">
        <f>IFERROR(__xludf.DUMMYFUNCTION("""COMPUTED_VALUE"""),-2000.0)</f>
        <v>-2000</v>
      </c>
      <c r="F7" s="82"/>
      <c r="G7" s="152"/>
      <c r="M7" s="161" t="str">
        <f>IFERROR(__xludf.DUMMYFUNCTION("""COMPUTED_VALUE"""),"Livre")</f>
        <v>Livre</v>
      </c>
      <c r="N7" s="161" t="str">
        <f>IFERROR(__xludf.DUMMYFUNCTION("""COMPUTED_VALUE"""),"Cartão de Crédito")</f>
        <v>Cartão de Crédito</v>
      </c>
      <c r="O7" s="162">
        <f>IFERROR(__xludf.DUMMYFUNCTION("""COMPUTED_VALUE"""),46143.0)</f>
        <v>46143</v>
      </c>
      <c r="P7" s="155">
        <f>IFERROR(__xludf.DUMMYFUNCTION("""COMPUTED_VALUE"""),-2000.0)</f>
        <v>-2000</v>
      </c>
    </row>
    <row r="8">
      <c r="D8" s="82" t="str">
        <f>IFERROR(__xludf.DUMMYFUNCTION("""COMPUTED_VALUE"""),"Transporte")</f>
        <v>Transporte</v>
      </c>
      <c r="E8" s="152">
        <f>IFERROR(__xludf.DUMMYFUNCTION("""COMPUTED_VALUE"""),-2000.0)</f>
        <v>-2000</v>
      </c>
      <c r="F8" s="82"/>
      <c r="G8" s="152"/>
      <c r="M8" s="161" t="str">
        <f>IFERROR(__xludf.DUMMYFUNCTION("""COMPUTED_VALUE"""),"Moradia")</f>
        <v>Moradia</v>
      </c>
      <c r="N8" s="161" t="str">
        <f>IFERROR(__xludf.DUMMYFUNCTION("""COMPUTED_VALUE"""),"Cássio")</f>
        <v>Cássio</v>
      </c>
      <c r="O8" s="162">
        <f>IFERROR(__xludf.DUMMYFUNCTION("""COMPUTED_VALUE"""),46143.0)</f>
        <v>46143</v>
      </c>
      <c r="P8" s="155">
        <f>IFERROR(__xludf.DUMMYFUNCTION("""COMPUTED_VALUE"""),-1000.0)</f>
        <v>-1000</v>
      </c>
    </row>
    <row r="9">
      <c r="D9" s="82" t="str">
        <f>IFERROR(__xludf.DUMMYFUNCTION("""COMPUTED_VALUE"""),"Contas Básicas")</f>
        <v>Contas Básicas</v>
      </c>
      <c r="E9" s="152">
        <f>IFERROR(__xludf.DUMMYFUNCTION("""COMPUTED_VALUE"""),-1040.96)</f>
        <v>-1040.96</v>
      </c>
      <c r="F9" s="82"/>
      <c r="G9" s="152"/>
      <c r="M9" s="161" t="str">
        <f>IFERROR(__xludf.DUMMYFUNCTION("""COMPUTED_VALUE"""),"Moradia")</f>
        <v>Moradia</v>
      </c>
      <c r="N9" s="161" t="str">
        <f>IFERROR(__xludf.DUMMYFUNCTION("""COMPUTED_VALUE"""),"Luz Apto SM")</f>
        <v>Luz Apto SM</v>
      </c>
      <c r="O9" s="162">
        <f>IFERROR(__xludf.DUMMYFUNCTION("""COMPUTED_VALUE"""),46143.0)</f>
        <v>46143</v>
      </c>
      <c r="P9" s="155">
        <f>IFERROR(__xludf.DUMMYFUNCTION("""COMPUTED_VALUE"""),-250.0)</f>
        <v>-250</v>
      </c>
    </row>
    <row r="10">
      <c r="D10" s="82" t="str">
        <f>IFERROR(__xludf.DUMMYFUNCTION("""COMPUTED_VALUE"""),"Alimentação")</f>
        <v>Alimentação</v>
      </c>
      <c r="E10" s="152">
        <f>IFERROR(__xludf.DUMMYFUNCTION("""COMPUTED_VALUE"""),-800.0)</f>
        <v>-800</v>
      </c>
      <c r="F10" s="82"/>
      <c r="G10" s="152"/>
      <c r="M10" s="161" t="str">
        <f>IFERROR(__xludf.DUMMYFUNCTION("""COMPUTED_VALUE"""),"Pensões")</f>
        <v>Pensões</v>
      </c>
      <c r="N10" s="161" t="str">
        <f>IFERROR(__xludf.DUMMYFUNCTION("""COMPUTED_VALUE"""),"Fernando")</f>
        <v>Fernando</v>
      </c>
      <c r="O10" s="162">
        <f>IFERROR(__xludf.DUMMYFUNCTION("""COMPUTED_VALUE"""),46143.0)</f>
        <v>46143</v>
      </c>
      <c r="P10" s="155">
        <f>IFERROR(__xludf.DUMMYFUNCTION("""COMPUTED_VALUE"""),-1000.0)</f>
        <v>-1000</v>
      </c>
    </row>
    <row r="11">
      <c r="D11" s="82"/>
      <c r="E11" s="152"/>
      <c r="F11" s="82"/>
      <c r="G11" s="152"/>
      <c r="M11" s="161" t="str">
        <f>IFERROR(__xludf.DUMMYFUNCTION("""COMPUTED_VALUE"""),"Pensões")</f>
        <v>Pensões</v>
      </c>
      <c r="N11" s="161" t="str">
        <f>IFERROR(__xludf.DUMMYFUNCTION("""COMPUTED_VALUE"""),"José")</f>
        <v>José</v>
      </c>
      <c r="O11" s="162">
        <f>IFERROR(__xludf.DUMMYFUNCTION("""COMPUTED_VALUE"""),46143.0)</f>
        <v>46143</v>
      </c>
      <c r="P11" s="155">
        <f>IFERROR(__xludf.DUMMYFUNCTION("""COMPUTED_VALUE"""),-550.0)</f>
        <v>-550</v>
      </c>
    </row>
    <row r="12">
      <c r="D12" s="82"/>
      <c r="E12" s="152"/>
      <c r="M12" s="161" t="str">
        <f>IFERROR(__xludf.DUMMYFUNCTION("""COMPUTED_VALUE"""),"Pensões")</f>
        <v>Pensões</v>
      </c>
      <c r="N12" s="161" t="str">
        <f>IFERROR(__xludf.DUMMYFUNCTION("""COMPUTED_VALUE"""),"Samanta")</f>
        <v>Samanta</v>
      </c>
      <c r="O12" s="162">
        <f>IFERROR(__xludf.DUMMYFUNCTION("""COMPUTED_VALUE"""),46143.0)</f>
        <v>46143</v>
      </c>
      <c r="P12" s="155">
        <f>IFERROR(__xludf.DUMMYFUNCTION("""COMPUTED_VALUE"""),-700.0)</f>
        <v>-700</v>
      </c>
    </row>
    <row r="13">
      <c r="D13" s="82"/>
      <c r="E13" s="152"/>
      <c r="M13" s="161" t="str">
        <f>IFERROR(__xludf.DUMMYFUNCTION("""COMPUTED_VALUE"""),"Pensões")</f>
        <v>Pensões</v>
      </c>
      <c r="N13" s="161" t="str">
        <f>IFERROR(__xludf.DUMMYFUNCTION("""COMPUTED_VALUE"""),"Tieda")</f>
        <v>Tieda</v>
      </c>
      <c r="O13" s="162">
        <f>IFERROR(__xludf.DUMMYFUNCTION("""COMPUTED_VALUE"""),46143.0)</f>
        <v>46143</v>
      </c>
      <c r="P13" s="155">
        <f>IFERROR(__xludf.DUMMYFUNCTION("""COMPUTED_VALUE"""),-1924.0)</f>
        <v>-1924</v>
      </c>
    </row>
    <row r="14">
      <c r="D14" s="82"/>
      <c r="E14" s="152"/>
      <c r="M14" s="161" t="str">
        <f>IFERROR(__xludf.DUMMYFUNCTION("""COMPUTED_VALUE"""),"Transporte")</f>
        <v>Transporte</v>
      </c>
      <c r="N14" s="161" t="str">
        <f>IFERROR(__xludf.DUMMYFUNCTION("""COMPUTED_VALUE"""),"Combustível SM")</f>
        <v>Combustível SM</v>
      </c>
      <c r="O14" s="162">
        <f>IFERROR(__xludf.DUMMYFUNCTION("""COMPUTED_VALUE"""),46143.0)</f>
        <v>46143</v>
      </c>
      <c r="P14" s="155">
        <f>IFERROR(__xludf.DUMMYFUNCTION("""COMPUTED_VALUE"""),-500.0)</f>
        <v>-500</v>
      </c>
    </row>
    <row r="15">
      <c r="D15" s="82"/>
      <c r="E15" s="152"/>
      <c r="M15" s="161" t="str">
        <f>IFERROR(__xludf.DUMMYFUNCTION("""COMPUTED_VALUE"""),"Contas Básicas")</f>
        <v>Contas Básicas</v>
      </c>
      <c r="N15" s="161" t="str">
        <f>IFERROR(__xludf.DUMMYFUNCTION("""COMPUTED_VALUE"""),"Empréstimo")</f>
        <v>Empréstimo</v>
      </c>
      <c r="O15" s="162">
        <f>IFERROR(__xludf.DUMMYFUNCTION("""COMPUTED_VALUE"""),46150.0)</f>
        <v>46150</v>
      </c>
      <c r="P15" s="155">
        <f>IFERROR(__xludf.DUMMYFUNCTION("""COMPUTED_VALUE"""),-250.0)</f>
        <v>-250</v>
      </c>
    </row>
    <row r="16">
      <c r="D16" s="82"/>
      <c r="E16" s="152"/>
      <c r="M16" s="161" t="str">
        <f>IFERROR(__xludf.DUMMYFUNCTION("""COMPUTED_VALUE"""),"Contas Básicas")</f>
        <v>Contas Básicas</v>
      </c>
      <c r="N16" s="161" t="str">
        <f>IFERROR(__xludf.DUMMYFUNCTION("""COMPUTED_VALUE"""),"Claro Naira")</f>
        <v>Claro Naira</v>
      </c>
      <c r="O16" s="162">
        <f>IFERROR(__xludf.DUMMYFUNCTION("""COMPUTED_VALUE"""),46152.0)</f>
        <v>46152</v>
      </c>
      <c r="P16" s="163">
        <f>IFERROR(__xludf.DUMMYFUNCTION("""COMPUTED_VALUE"""),-145.48)</f>
        <v>-145.48</v>
      </c>
    </row>
    <row r="17">
      <c r="D17" s="82"/>
      <c r="E17" s="152"/>
      <c r="M17" s="161" t="str">
        <f>IFERROR(__xludf.DUMMYFUNCTION("""COMPUTED_VALUE"""),"Contas Básicas")</f>
        <v>Contas Básicas</v>
      </c>
      <c r="N17" s="161" t="str">
        <f>IFERROR(__xludf.DUMMYFUNCTION("""COMPUTED_VALUE"""),"Claro Rodrigo")</f>
        <v>Claro Rodrigo</v>
      </c>
      <c r="O17" s="162">
        <f>IFERROR(__xludf.DUMMYFUNCTION("""COMPUTED_VALUE"""),46152.0)</f>
        <v>46152</v>
      </c>
      <c r="P17" s="155">
        <f>IFERROR(__xludf.DUMMYFUNCTION("""COMPUTED_VALUE"""),-145.48)</f>
        <v>-145.48</v>
      </c>
    </row>
    <row r="18">
      <c r="D18" s="82"/>
      <c r="E18" s="152"/>
      <c r="M18" s="161" t="str">
        <f>IFERROR(__xludf.DUMMYFUNCTION("""COMPUTED_VALUE"""),"Moradia")</f>
        <v>Moradia</v>
      </c>
      <c r="N18" s="161" t="str">
        <f>IFERROR(__xludf.DUMMYFUNCTION("""COMPUTED_VALUE"""),"Caixa Apto Cachoeirinha")</f>
        <v>Caixa Apto Cachoeirinha</v>
      </c>
      <c r="O18" s="162">
        <f>IFERROR(__xludf.DUMMYFUNCTION("""COMPUTED_VALUE"""),46152.0)</f>
        <v>46152</v>
      </c>
      <c r="P18" s="155">
        <f>IFERROR(__xludf.DUMMYFUNCTION("""COMPUTED_VALUE"""),-563.17)</f>
        <v>-563.17</v>
      </c>
    </row>
    <row r="19">
      <c r="D19" s="82"/>
      <c r="E19" s="152"/>
      <c r="M19" s="161" t="str">
        <f>IFERROR(__xludf.DUMMYFUNCTION("""COMPUTED_VALUE"""),"Moradia")</f>
        <v>Moradia</v>
      </c>
      <c r="N19" s="161" t="str">
        <f>IFERROR(__xludf.DUMMYFUNCTION("""COMPUTED_VALUE"""),"Caixa Casa Canoas")</f>
        <v>Caixa Casa Canoas</v>
      </c>
      <c r="O19" s="162">
        <f>IFERROR(__xludf.DUMMYFUNCTION("""COMPUTED_VALUE"""),46152.0)</f>
        <v>46152</v>
      </c>
      <c r="P19" s="155">
        <f>IFERROR(__xludf.DUMMYFUNCTION("""COMPUTED_VALUE"""),-600.0)</f>
        <v>-600</v>
      </c>
    </row>
    <row r="20">
      <c r="D20" s="82"/>
      <c r="E20" s="152"/>
      <c r="M20" s="161" t="str">
        <f>IFERROR(__xludf.DUMMYFUNCTION("""COMPUTED_VALUE"""),"Moradia")</f>
        <v>Moradia</v>
      </c>
      <c r="N20" s="161" t="str">
        <f>IFERROR(__xludf.DUMMYFUNCTION("""COMPUTED_VALUE"""),"Condomínio Santa Maria H3 105")</f>
        <v>Condomínio Santa Maria H3 105</v>
      </c>
      <c r="O20" s="162">
        <f>IFERROR(__xludf.DUMMYFUNCTION("""COMPUTED_VALUE"""),46152.0)</f>
        <v>46152</v>
      </c>
      <c r="P20" s="155">
        <f>IFERROR(__xludf.DUMMYFUNCTION("""COMPUTED_VALUE"""),-450.0)</f>
        <v>-450</v>
      </c>
    </row>
    <row r="21">
      <c r="D21" s="82"/>
      <c r="E21" s="152"/>
      <c r="M21" s="161" t="str">
        <f>IFERROR(__xludf.DUMMYFUNCTION("""COMPUTED_VALUE"""),"Moradia")</f>
        <v>Moradia</v>
      </c>
      <c r="N21" s="161" t="str">
        <f>IFERROR(__xludf.DUMMYFUNCTION("""COMPUTED_VALUE"""),"Internet SM")</f>
        <v>Internet SM</v>
      </c>
      <c r="O21" s="162">
        <f>IFERROR(__xludf.DUMMYFUNCTION("""COMPUTED_VALUE"""),46152.0)</f>
        <v>46152</v>
      </c>
      <c r="P21" s="155">
        <f>IFERROR(__xludf.DUMMYFUNCTION("""COMPUTED_VALUE"""),-89.9)</f>
        <v>-89.9</v>
      </c>
    </row>
    <row r="22">
      <c r="D22" s="82"/>
      <c r="E22" s="152"/>
      <c r="M22" s="161" t="str">
        <f>IFERROR(__xludf.DUMMYFUNCTION("""COMPUTED_VALUE"""),"Moradia")</f>
        <v>Moradia</v>
      </c>
      <c r="N22" s="161" t="str">
        <f>IFERROR(__xludf.DUMMYFUNCTION("""COMPUTED_VALUE"""),"Parcela Compra Casa Gravataí")</f>
        <v>Parcela Compra Casa Gravataí</v>
      </c>
      <c r="O22" s="162">
        <f>IFERROR(__xludf.DUMMYFUNCTION("""COMPUTED_VALUE"""),46152.0)</f>
        <v>46152</v>
      </c>
      <c r="P22" s="155">
        <f>IFERROR(__xludf.DUMMYFUNCTION("""COMPUTED_VALUE"""),1000.0)</f>
        <v>1000</v>
      </c>
    </row>
    <row r="23">
      <c r="D23" s="82"/>
      <c r="E23" s="152"/>
      <c r="M23" s="161" t="str">
        <f>IFERROR(__xludf.DUMMYFUNCTION("""COMPUTED_VALUE"""),"Saúde")</f>
        <v>Saúde</v>
      </c>
      <c r="N23" s="161" t="str">
        <f>IFERROR(__xludf.DUMMYFUNCTION("""COMPUTED_VALUE"""),"Convênio Cauzzo Mais")</f>
        <v>Convênio Cauzzo Mais</v>
      </c>
      <c r="O23" s="162">
        <f>IFERROR(__xludf.DUMMYFUNCTION("""COMPUTED_VALUE"""),46152.0)</f>
        <v>46152</v>
      </c>
      <c r="P23" s="155">
        <f>IFERROR(__xludf.DUMMYFUNCTION("""COMPUTED_VALUE"""),-58.47)</f>
        <v>-58.47</v>
      </c>
    </row>
    <row r="24">
      <c r="D24" s="82"/>
      <c r="E24" s="152"/>
      <c r="M24" s="161" t="str">
        <f>IFERROR(__xludf.DUMMYFUNCTION("""COMPUTED_VALUE"""),"Saúde")</f>
        <v>Saúde</v>
      </c>
      <c r="N24" s="161" t="str">
        <f>IFERROR(__xludf.DUMMYFUNCTION("""COMPUTED_VALUE"""),"Cooparticipação Unimed")</f>
        <v>Cooparticipação Unimed</v>
      </c>
      <c r="O24" s="162">
        <f>IFERROR(__xludf.DUMMYFUNCTION("""COMPUTED_VALUE"""),46152.0)</f>
        <v>46152</v>
      </c>
      <c r="P24" s="155">
        <f>IFERROR(__xludf.DUMMYFUNCTION("""COMPUTED_VALUE"""),-3000.0)</f>
        <v>-3000</v>
      </c>
    </row>
    <row r="25">
      <c r="D25" s="82"/>
      <c r="E25" s="152"/>
      <c r="M25" s="161" t="str">
        <f>IFERROR(__xludf.DUMMYFUNCTION("""COMPUTED_VALUE"""),"Moradia")</f>
        <v>Moradia</v>
      </c>
      <c r="N25" s="161" t="str">
        <f>IFERROR(__xludf.DUMMYFUNCTION("""COMPUTED_VALUE"""),"Rescisão contrato apto SM")</f>
        <v>Rescisão contrato apto SM</v>
      </c>
      <c r="O25" s="162">
        <f>IFERROR(__xludf.DUMMYFUNCTION("""COMPUTED_VALUE"""),46155.0)</f>
        <v>46155</v>
      </c>
      <c r="P25" s="155">
        <f>IFERROR(__xludf.DUMMYFUNCTION("""COMPUTED_VALUE"""),-718.07)</f>
        <v>-718.07</v>
      </c>
    </row>
    <row r="26">
      <c r="D26" s="82"/>
      <c r="E26" s="152"/>
      <c r="M26" s="161" t="str">
        <f>IFERROR(__xludf.DUMMYFUNCTION("""COMPUTED_VALUE"""),"Transporte")</f>
        <v>Transporte</v>
      </c>
      <c r="N26" s="161" t="str">
        <f>IFERROR(__xludf.DUMMYFUNCTION("""COMPUTED_VALUE"""),"Viagens POA")</f>
        <v>Viagens POA</v>
      </c>
      <c r="O26" s="162">
        <f>IFERROR(__xludf.DUMMYFUNCTION("""COMPUTED_VALUE"""),46173.0)</f>
        <v>46173</v>
      </c>
      <c r="P26" s="155">
        <f>IFERROR(__xludf.DUMMYFUNCTION("""COMPUTED_VALUE"""),-1500.0)</f>
        <v>-1500</v>
      </c>
    </row>
    <row r="27">
      <c r="D27" s="82"/>
      <c r="E27" s="152"/>
      <c r="P27" s="155"/>
    </row>
    <row r="28">
      <c r="D28" s="82"/>
      <c r="E28" s="152"/>
      <c r="P28" s="155"/>
    </row>
    <row r="29">
      <c r="D29" s="82"/>
      <c r="E29" s="152"/>
      <c r="P29" s="155"/>
    </row>
    <row r="30">
      <c r="D30" s="82"/>
      <c r="E30" s="152"/>
      <c r="P30" s="155"/>
    </row>
    <row r="31">
      <c r="D31" s="82"/>
      <c r="E31" s="152"/>
      <c r="P31" s="155"/>
    </row>
    <row r="32">
      <c r="D32" s="82"/>
      <c r="E32" s="152"/>
      <c r="P32" s="155"/>
    </row>
    <row r="33">
      <c r="D33" s="82"/>
      <c r="E33" s="152"/>
      <c r="P33" s="155"/>
    </row>
    <row r="34">
      <c r="D34" s="82"/>
      <c r="E34" s="152"/>
      <c r="P34" s="155"/>
    </row>
    <row r="35">
      <c r="D35" s="82"/>
      <c r="E35" s="152"/>
      <c r="P35" s="155"/>
    </row>
    <row r="36">
      <c r="D36" s="82"/>
      <c r="E36" s="152"/>
      <c r="P36" s="155"/>
    </row>
    <row r="37">
      <c r="D37" s="82"/>
      <c r="E37" s="152"/>
      <c r="P37" s="155"/>
    </row>
    <row r="38">
      <c r="D38" s="82"/>
      <c r="E38" s="152"/>
      <c r="P38" s="155"/>
    </row>
    <row r="39">
      <c r="D39" s="82"/>
      <c r="E39" s="152"/>
      <c r="P39" s="155"/>
    </row>
    <row r="40">
      <c r="D40" s="82"/>
      <c r="E40" s="152"/>
      <c r="P40" s="155"/>
    </row>
    <row r="41">
      <c r="D41" s="82"/>
      <c r="E41" s="152"/>
      <c r="P41" s="155"/>
    </row>
    <row r="42">
      <c r="D42" s="82"/>
      <c r="E42" s="152"/>
      <c r="P42" s="155"/>
    </row>
    <row r="43">
      <c r="D43" s="82"/>
      <c r="E43" s="152"/>
      <c r="P43" s="155"/>
    </row>
    <row r="44">
      <c r="D44" s="82"/>
      <c r="E44" s="152"/>
      <c r="P44" s="155"/>
    </row>
    <row r="45">
      <c r="D45" s="82"/>
      <c r="E45" s="152"/>
      <c r="P45" s="155"/>
    </row>
    <row r="46">
      <c r="D46" s="82"/>
      <c r="E46" s="152"/>
      <c r="P46" s="155"/>
    </row>
    <row r="47">
      <c r="D47" s="82"/>
      <c r="E47" s="152"/>
      <c r="P47" s="155"/>
    </row>
    <row r="48">
      <c r="D48" s="82"/>
      <c r="E48" s="152"/>
      <c r="P48" s="155"/>
    </row>
    <row r="49">
      <c r="D49" s="82"/>
      <c r="E49" s="152"/>
      <c r="P49" s="155"/>
    </row>
    <row r="50">
      <c r="D50" s="82"/>
      <c r="E50" s="152"/>
      <c r="P50" s="155"/>
    </row>
    <row r="51">
      <c r="D51" s="82"/>
      <c r="E51" s="152"/>
      <c r="P51" s="155"/>
    </row>
    <row r="52">
      <c r="D52" s="82"/>
      <c r="E52" s="152"/>
      <c r="P52" s="155"/>
    </row>
    <row r="53">
      <c r="D53" s="82"/>
      <c r="E53" s="152"/>
      <c r="P53" s="155"/>
    </row>
    <row r="54">
      <c r="D54" s="82"/>
      <c r="E54" s="152"/>
      <c r="P54" s="155"/>
    </row>
    <row r="55">
      <c r="D55" s="82"/>
      <c r="E55" s="152"/>
      <c r="P55" s="155"/>
    </row>
    <row r="56">
      <c r="D56" s="82"/>
      <c r="E56" s="152"/>
      <c r="P56" s="155"/>
    </row>
    <row r="57">
      <c r="D57" s="82"/>
      <c r="E57" s="152"/>
      <c r="P57" s="155"/>
    </row>
    <row r="58">
      <c r="D58" s="82"/>
      <c r="E58" s="152"/>
      <c r="P58" s="155"/>
    </row>
    <row r="59">
      <c r="D59" s="82"/>
      <c r="E59" s="152"/>
      <c r="P59" s="155"/>
    </row>
    <row r="60">
      <c r="D60" s="82"/>
      <c r="E60" s="152"/>
      <c r="P60" s="155"/>
    </row>
    <row r="61">
      <c r="D61" s="82"/>
      <c r="E61" s="152"/>
      <c r="P61" s="155"/>
    </row>
    <row r="62">
      <c r="D62" s="82"/>
      <c r="E62" s="152"/>
      <c r="P62" s="155"/>
    </row>
    <row r="63">
      <c r="D63" s="82"/>
      <c r="E63" s="152"/>
      <c r="P63" s="155"/>
    </row>
    <row r="64">
      <c r="D64" s="82"/>
      <c r="E64" s="152"/>
      <c r="P64" s="155"/>
    </row>
    <row r="65">
      <c r="D65" s="82"/>
      <c r="E65" s="152"/>
      <c r="P65" s="155"/>
    </row>
    <row r="66">
      <c r="D66" s="82"/>
      <c r="E66" s="152"/>
      <c r="P66" s="155"/>
    </row>
    <row r="67">
      <c r="D67" s="82"/>
      <c r="E67" s="152"/>
      <c r="P67" s="155"/>
    </row>
    <row r="68">
      <c r="D68" s="82"/>
      <c r="E68" s="152"/>
      <c r="P68" s="155"/>
    </row>
    <row r="69">
      <c r="D69" s="82"/>
      <c r="E69" s="152"/>
      <c r="P69" s="155"/>
    </row>
    <row r="70">
      <c r="D70" s="82"/>
      <c r="E70" s="152"/>
      <c r="P70" s="155"/>
    </row>
    <row r="71">
      <c r="D71" s="82"/>
      <c r="E71" s="152"/>
      <c r="P71" s="155"/>
    </row>
    <row r="72">
      <c r="D72" s="82"/>
      <c r="E72" s="152"/>
      <c r="P72" s="155"/>
    </row>
    <row r="73">
      <c r="D73" s="82"/>
      <c r="E73" s="152"/>
      <c r="P73" s="155"/>
    </row>
    <row r="74">
      <c r="D74" s="82"/>
      <c r="E74" s="152"/>
      <c r="P74" s="155"/>
    </row>
    <row r="75">
      <c r="D75" s="82"/>
      <c r="E75" s="152"/>
      <c r="P75" s="155"/>
    </row>
    <row r="76">
      <c r="D76" s="82"/>
      <c r="E76" s="152"/>
      <c r="P76" s="155"/>
    </row>
    <row r="77">
      <c r="D77" s="82"/>
      <c r="E77" s="152"/>
      <c r="P77" s="155"/>
    </row>
    <row r="78">
      <c r="D78" s="82"/>
      <c r="E78" s="152"/>
      <c r="P78" s="155"/>
    </row>
    <row r="79">
      <c r="D79" s="82"/>
      <c r="E79" s="152"/>
      <c r="P79" s="155"/>
    </row>
    <row r="80">
      <c r="D80" s="82"/>
      <c r="E80" s="152"/>
      <c r="P80" s="155"/>
    </row>
    <row r="81">
      <c r="D81" s="82"/>
      <c r="E81" s="152"/>
      <c r="P81" s="155"/>
    </row>
    <row r="82">
      <c r="D82" s="82"/>
      <c r="E82" s="152"/>
      <c r="P82" s="155"/>
    </row>
    <row r="83">
      <c r="D83" s="82"/>
      <c r="E83" s="152"/>
      <c r="P83" s="155"/>
    </row>
    <row r="84">
      <c r="D84" s="82"/>
      <c r="E84" s="152"/>
      <c r="P84" s="155"/>
    </row>
    <row r="85">
      <c r="D85" s="82"/>
      <c r="E85" s="152"/>
      <c r="P85" s="155"/>
    </row>
    <row r="86">
      <c r="D86" s="82"/>
      <c r="E86" s="152"/>
      <c r="P86" s="155"/>
    </row>
    <row r="87">
      <c r="D87" s="82"/>
      <c r="E87" s="152"/>
      <c r="P87" s="155"/>
    </row>
    <row r="88">
      <c r="D88" s="82"/>
      <c r="E88" s="152"/>
      <c r="P88" s="155"/>
    </row>
    <row r="89">
      <c r="D89" s="82"/>
      <c r="E89" s="152"/>
      <c r="P89" s="155"/>
    </row>
    <row r="90">
      <c r="D90" s="82"/>
      <c r="E90" s="152"/>
      <c r="P90" s="155"/>
    </row>
    <row r="91">
      <c r="D91" s="82"/>
      <c r="E91" s="152"/>
      <c r="P91" s="155"/>
    </row>
    <row r="92">
      <c r="D92" s="82"/>
      <c r="E92" s="152"/>
      <c r="P92" s="155"/>
    </row>
    <row r="93">
      <c r="D93" s="82"/>
      <c r="E93" s="152"/>
      <c r="P93" s="155"/>
    </row>
    <row r="94">
      <c r="D94" s="82"/>
      <c r="E94" s="152"/>
      <c r="P94" s="155"/>
    </row>
    <row r="95">
      <c r="D95" s="82"/>
      <c r="E95" s="152"/>
      <c r="P95" s="155"/>
    </row>
    <row r="96">
      <c r="D96" s="82"/>
      <c r="E96" s="152"/>
      <c r="P96" s="155"/>
    </row>
    <row r="97">
      <c r="D97" s="82"/>
      <c r="E97" s="152"/>
      <c r="P97" s="155"/>
    </row>
    <row r="98">
      <c r="D98" s="82"/>
      <c r="E98" s="152"/>
      <c r="P98" s="155"/>
    </row>
    <row r="99">
      <c r="D99" s="82"/>
      <c r="E99" s="152"/>
      <c r="P99" s="155"/>
    </row>
    <row r="100">
      <c r="D100" s="82"/>
      <c r="E100" s="152"/>
      <c r="P100" s="155"/>
    </row>
    <row r="101">
      <c r="D101" s="82"/>
      <c r="E101" s="152"/>
      <c r="P101" s="155"/>
    </row>
    <row r="102">
      <c r="D102" s="82"/>
      <c r="E102" s="152"/>
      <c r="P102" s="155"/>
    </row>
    <row r="103">
      <c r="D103" s="82"/>
      <c r="E103" s="152"/>
      <c r="P103" s="155"/>
    </row>
    <row r="104">
      <c r="D104" s="82"/>
      <c r="E104" s="152"/>
      <c r="P104" s="155"/>
    </row>
    <row r="105">
      <c r="D105" s="82"/>
      <c r="E105" s="152"/>
      <c r="P105" s="155"/>
    </row>
    <row r="106">
      <c r="D106" s="82"/>
      <c r="E106" s="152"/>
      <c r="P106" s="155"/>
    </row>
    <row r="107">
      <c r="D107" s="82"/>
      <c r="E107" s="152"/>
      <c r="P107" s="155"/>
    </row>
    <row r="108">
      <c r="D108" s="82"/>
      <c r="E108" s="152"/>
      <c r="P108" s="155"/>
    </row>
    <row r="109">
      <c r="D109" s="82"/>
      <c r="E109" s="152"/>
      <c r="P109" s="155"/>
    </row>
    <row r="110">
      <c r="D110" s="82"/>
      <c r="E110" s="152"/>
      <c r="P110" s="155"/>
    </row>
    <row r="111">
      <c r="D111" s="82"/>
      <c r="E111" s="152"/>
      <c r="P111" s="155"/>
    </row>
    <row r="112">
      <c r="D112" s="82"/>
      <c r="E112" s="152"/>
      <c r="P112" s="155"/>
    </row>
    <row r="113">
      <c r="D113" s="82"/>
      <c r="E113" s="152"/>
      <c r="P113" s="155"/>
    </row>
    <row r="114">
      <c r="D114" s="82"/>
      <c r="E114" s="152"/>
      <c r="P114" s="155"/>
    </row>
    <row r="115">
      <c r="D115" s="82"/>
      <c r="E115" s="152"/>
      <c r="P115" s="155"/>
    </row>
    <row r="116">
      <c r="D116" s="82"/>
      <c r="E116" s="152"/>
      <c r="P116" s="155"/>
    </row>
    <row r="117">
      <c r="D117" s="82"/>
      <c r="E117" s="152"/>
      <c r="P117" s="155"/>
    </row>
    <row r="118">
      <c r="D118" s="82"/>
      <c r="E118" s="152"/>
      <c r="P118" s="155"/>
    </row>
    <row r="119">
      <c r="D119" s="82"/>
      <c r="E119" s="152"/>
      <c r="P119" s="155"/>
    </row>
    <row r="120">
      <c r="D120" s="82"/>
      <c r="E120" s="152"/>
      <c r="P120" s="155"/>
    </row>
    <row r="121">
      <c r="D121" s="82"/>
      <c r="E121" s="152"/>
      <c r="P121" s="155"/>
    </row>
    <row r="122">
      <c r="D122" s="82"/>
      <c r="E122" s="152"/>
      <c r="P122" s="155"/>
    </row>
    <row r="123">
      <c r="D123" s="82"/>
      <c r="E123" s="152"/>
      <c r="P123" s="155"/>
    </row>
    <row r="124">
      <c r="D124" s="82"/>
      <c r="E124" s="152"/>
      <c r="P124" s="155"/>
    </row>
    <row r="125">
      <c r="D125" s="82"/>
      <c r="E125" s="152"/>
      <c r="P125" s="155"/>
    </row>
    <row r="126">
      <c r="D126" s="82"/>
      <c r="E126" s="152"/>
      <c r="P126" s="155"/>
    </row>
    <row r="127">
      <c r="D127" s="82"/>
      <c r="E127" s="152"/>
      <c r="P127" s="155"/>
    </row>
    <row r="128">
      <c r="D128" s="82"/>
      <c r="E128" s="152"/>
      <c r="P128" s="155"/>
    </row>
    <row r="129">
      <c r="D129" s="82"/>
      <c r="E129" s="152"/>
      <c r="P129" s="155"/>
    </row>
    <row r="130">
      <c r="D130" s="82"/>
      <c r="E130" s="152"/>
      <c r="P130" s="155"/>
    </row>
    <row r="131">
      <c r="D131" s="82"/>
      <c r="E131" s="152"/>
      <c r="P131" s="155"/>
    </row>
    <row r="132">
      <c r="D132" s="82"/>
      <c r="E132" s="152"/>
      <c r="P132" s="155"/>
    </row>
    <row r="133">
      <c r="D133" s="82"/>
      <c r="E133" s="152"/>
      <c r="P133" s="155"/>
    </row>
    <row r="134">
      <c r="D134" s="82"/>
      <c r="E134" s="152"/>
      <c r="P134" s="155"/>
    </row>
    <row r="135">
      <c r="D135" s="82"/>
      <c r="E135" s="152"/>
      <c r="P135" s="155"/>
    </row>
    <row r="136">
      <c r="D136" s="82"/>
      <c r="E136" s="152"/>
      <c r="P136" s="155"/>
    </row>
    <row r="137">
      <c r="D137" s="82"/>
      <c r="E137" s="152"/>
      <c r="P137" s="155"/>
    </row>
    <row r="138">
      <c r="D138" s="82"/>
      <c r="E138" s="152"/>
      <c r="P138" s="155"/>
    </row>
    <row r="139">
      <c r="D139" s="82"/>
      <c r="E139" s="152"/>
      <c r="P139" s="155"/>
    </row>
    <row r="140">
      <c r="D140" s="82"/>
      <c r="E140" s="152"/>
      <c r="P140" s="155"/>
    </row>
    <row r="141">
      <c r="D141" s="82"/>
      <c r="E141" s="152"/>
      <c r="P141" s="155"/>
    </row>
    <row r="142">
      <c r="D142" s="82"/>
      <c r="E142" s="152"/>
      <c r="P142" s="155"/>
    </row>
    <row r="143">
      <c r="D143" s="82"/>
      <c r="E143" s="152"/>
      <c r="P143" s="155"/>
    </row>
    <row r="144">
      <c r="D144" s="82"/>
      <c r="E144" s="152"/>
      <c r="P144" s="155"/>
    </row>
    <row r="145">
      <c r="D145" s="82"/>
      <c r="E145" s="152"/>
      <c r="P145" s="155"/>
    </row>
    <row r="146">
      <c r="D146" s="82"/>
      <c r="E146" s="152"/>
      <c r="P146" s="155"/>
    </row>
    <row r="147">
      <c r="D147" s="82"/>
      <c r="E147" s="152"/>
      <c r="P147" s="155"/>
    </row>
    <row r="148">
      <c r="D148" s="82"/>
      <c r="E148" s="152"/>
      <c r="P148" s="155"/>
    </row>
    <row r="149">
      <c r="D149" s="82"/>
      <c r="E149" s="152"/>
      <c r="P149" s="155"/>
    </row>
    <row r="150">
      <c r="D150" s="82"/>
      <c r="E150" s="152"/>
      <c r="P150" s="155"/>
    </row>
    <row r="151">
      <c r="D151" s="82"/>
      <c r="E151" s="152"/>
      <c r="P151" s="155"/>
    </row>
    <row r="152">
      <c r="D152" s="82"/>
      <c r="E152" s="152"/>
      <c r="P152" s="155"/>
    </row>
    <row r="153">
      <c r="D153" s="82"/>
      <c r="E153" s="152"/>
      <c r="P153" s="155"/>
    </row>
    <row r="154">
      <c r="D154" s="82"/>
      <c r="E154" s="152"/>
      <c r="P154" s="155"/>
    </row>
    <row r="155">
      <c r="D155" s="82"/>
      <c r="E155" s="152"/>
      <c r="P155" s="155"/>
    </row>
    <row r="156">
      <c r="D156" s="82"/>
      <c r="E156" s="152"/>
      <c r="P156" s="155"/>
    </row>
    <row r="157">
      <c r="D157" s="82"/>
      <c r="E157" s="152"/>
      <c r="P157" s="155"/>
    </row>
    <row r="158">
      <c r="D158" s="82"/>
      <c r="E158" s="152"/>
      <c r="P158" s="155"/>
    </row>
    <row r="159">
      <c r="D159" s="82"/>
      <c r="E159" s="152"/>
      <c r="P159" s="155"/>
    </row>
    <row r="160">
      <c r="D160" s="82"/>
      <c r="E160" s="152"/>
      <c r="P160" s="155"/>
    </row>
    <row r="161">
      <c r="D161" s="82"/>
      <c r="E161" s="152"/>
      <c r="P161" s="155"/>
    </row>
    <row r="162">
      <c r="D162" s="82"/>
      <c r="E162" s="152"/>
      <c r="P162" s="155"/>
    </row>
    <row r="163">
      <c r="D163" s="82"/>
      <c r="E163" s="152"/>
      <c r="P163" s="155"/>
    </row>
    <row r="164">
      <c r="D164" s="82"/>
      <c r="E164" s="152"/>
      <c r="P164" s="155"/>
    </row>
    <row r="165">
      <c r="D165" s="82"/>
      <c r="E165" s="152"/>
      <c r="P165" s="155"/>
    </row>
    <row r="166">
      <c r="D166" s="82"/>
      <c r="E166" s="152"/>
      <c r="P166" s="155"/>
    </row>
    <row r="167">
      <c r="D167" s="82"/>
      <c r="E167" s="152"/>
      <c r="P167" s="155"/>
    </row>
    <row r="168">
      <c r="D168" s="82"/>
      <c r="E168" s="152"/>
      <c r="P168" s="155"/>
    </row>
    <row r="169">
      <c r="D169" s="82"/>
      <c r="E169" s="152"/>
      <c r="P169" s="155"/>
    </row>
    <row r="170">
      <c r="D170" s="82"/>
      <c r="E170" s="152"/>
      <c r="P170" s="155"/>
    </row>
    <row r="171">
      <c r="D171" s="82"/>
      <c r="E171" s="152"/>
      <c r="P171" s="155"/>
    </row>
    <row r="172">
      <c r="D172" s="82"/>
      <c r="E172" s="152"/>
      <c r="P172" s="155"/>
    </row>
    <row r="173">
      <c r="D173" s="82"/>
      <c r="E173" s="152"/>
      <c r="P173" s="155"/>
    </row>
    <row r="174">
      <c r="D174" s="82"/>
      <c r="E174" s="152"/>
      <c r="P174" s="155"/>
    </row>
    <row r="175">
      <c r="D175" s="82"/>
      <c r="E175" s="152"/>
      <c r="P175" s="155"/>
    </row>
    <row r="176">
      <c r="D176" s="82"/>
      <c r="E176" s="152"/>
      <c r="P176" s="155"/>
    </row>
    <row r="177">
      <c r="D177" s="82"/>
      <c r="E177" s="152"/>
      <c r="P177" s="155"/>
    </row>
    <row r="178">
      <c r="D178" s="82"/>
      <c r="E178" s="152"/>
      <c r="P178" s="155"/>
    </row>
    <row r="179">
      <c r="D179" s="82"/>
      <c r="E179" s="152"/>
      <c r="P179" s="155"/>
    </row>
    <row r="180">
      <c r="D180" s="82"/>
      <c r="E180" s="152"/>
      <c r="P180" s="155"/>
    </row>
    <row r="181">
      <c r="D181" s="82"/>
      <c r="E181" s="152"/>
      <c r="P181" s="155"/>
    </row>
    <row r="182">
      <c r="D182" s="82"/>
      <c r="E182" s="152"/>
      <c r="P182" s="155"/>
    </row>
    <row r="183">
      <c r="D183" s="82"/>
      <c r="E183" s="152"/>
      <c r="P183" s="155"/>
    </row>
    <row r="184">
      <c r="D184" s="82"/>
      <c r="E184" s="152"/>
      <c r="P184" s="155"/>
    </row>
    <row r="185">
      <c r="D185" s="82"/>
      <c r="E185" s="152"/>
      <c r="P185" s="155"/>
    </row>
    <row r="186">
      <c r="D186" s="82"/>
      <c r="E186" s="152"/>
      <c r="P186" s="155"/>
    </row>
    <row r="187">
      <c r="D187" s="82"/>
      <c r="E187" s="152"/>
      <c r="P187" s="155"/>
    </row>
    <row r="188">
      <c r="D188" s="82"/>
      <c r="E188" s="152"/>
      <c r="P188" s="155"/>
    </row>
    <row r="189">
      <c r="D189" s="82"/>
      <c r="E189" s="152"/>
      <c r="P189" s="155"/>
    </row>
    <row r="190">
      <c r="D190" s="82"/>
      <c r="E190" s="152"/>
      <c r="P190" s="155"/>
    </row>
    <row r="191">
      <c r="D191" s="82"/>
      <c r="E191" s="152"/>
      <c r="P191" s="155"/>
    </row>
    <row r="192">
      <c r="D192" s="82"/>
      <c r="E192" s="152"/>
      <c r="P192" s="155"/>
    </row>
    <row r="193">
      <c r="D193" s="82"/>
      <c r="E193" s="152"/>
      <c r="P193" s="155"/>
    </row>
    <row r="194">
      <c r="D194" s="82"/>
      <c r="E194" s="152"/>
      <c r="P194" s="155"/>
    </row>
    <row r="195">
      <c r="D195" s="82"/>
      <c r="E195" s="152"/>
      <c r="P195" s="155"/>
    </row>
    <row r="196">
      <c r="D196" s="82"/>
      <c r="E196" s="152"/>
      <c r="P196" s="155"/>
    </row>
    <row r="197">
      <c r="D197" s="82"/>
      <c r="E197" s="152"/>
      <c r="P197" s="155"/>
    </row>
    <row r="198">
      <c r="D198" s="82"/>
      <c r="E198" s="152"/>
      <c r="P198" s="155"/>
    </row>
    <row r="199">
      <c r="D199" s="82"/>
      <c r="E199" s="152"/>
      <c r="P199" s="155"/>
    </row>
    <row r="200">
      <c r="D200" s="82"/>
      <c r="E200" s="152"/>
      <c r="P200" s="155"/>
    </row>
    <row r="201">
      <c r="D201" s="82"/>
      <c r="E201" s="152"/>
      <c r="P201" s="155"/>
    </row>
    <row r="202">
      <c r="D202" s="82"/>
      <c r="E202" s="152"/>
      <c r="P202" s="155"/>
    </row>
    <row r="203">
      <c r="D203" s="82"/>
      <c r="E203" s="152"/>
      <c r="P203" s="155"/>
    </row>
    <row r="204">
      <c r="D204" s="82"/>
      <c r="E204" s="152"/>
      <c r="P204" s="155"/>
    </row>
    <row r="205">
      <c r="D205" s="82"/>
      <c r="E205" s="152"/>
      <c r="P205" s="155"/>
    </row>
    <row r="206">
      <c r="D206" s="82"/>
      <c r="E206" s="152"/>
      <c r="P206" s="155"/>
    </row>
    <row r="207">
      <c r="D207" s="82"/>
      <c r="E207" s="152"/>
      <c r="P207" s="155"/>
    </row>
    <row r="208">
      <c r="D208" s="82"/>
      <c r="E208" s="152"/>
      <c r="P208" s="155"/>
    </row>
    <row r="209">
      <c r="D209" s="82"/>
      <c r="E209" s="152"/>
      <c r="P209" s="155"/>
    </row>
    <row r="210">
      <c r="D210" s="82"/>
      <c r="E210" s="152"/>
      <c r="P210" s="155"/>
    </row>
    <row r="211">
      <c r="D211" s="82"/>
      <c r="E211" s="152"/>
      <c r="P211" s="155"/>
    </row>
    <row r="212">
      <c r="D212" s="82"/>
      <c r="E212" s="152"/>
      <c r="P212" s="155"/>
    </row>
    <row r="213">
      <c r="D213" s="82"/>
      <c r="E213" s="152"/>
      <c r="P213" s="155"/>
    </row>
    <row r="214">
      <c r="D214" s="82"/>
      <c r="E214" s="152"/>
      <c r="P214" s="155"/>
    </row>
    <row r="215">
      <c r="D215" s="82"/>
      <c r="E215" s="152"/>
      <c r="P215" s="155"/>
    </row>
    <row r="216">
      <c r="D216" s="82"/>
      <c r="E216" s="152"/>
      <c r="P216" s="155"/>
    </row>
    <row r="217">
      <c r="D217" s="82"/>
      <c r="E217" s="152"/>
      <c r="P217" s="155"/>
    </row>
    <row r="218">
      <c r="D218" s="82"/>
      <c r="E218" s="152"/>
      <c r="P218" s="155"/>
    </row>
    <row r="219">
      <c r="D219" s="82"/>
      <c r="E219" s="152"/>
      <c r="P219" s="155"/>
    </row>
    <row r="220">
      <c r="D220" s="82"/>
      <c r="E220" s="152"/>
      <c r="P220" s="155"/>
    </row>
    <row r="221">
      <c r="D221" s="82"/>
      <c r="E221" s="152"/>
      <c r="P221" s="155"/>
    </row>
    <row r="222">
      <c r="D222" s="82"/>
      <c r="E222" s="152"/>
      <c r="P222" s="155"/>
    </row>
    <row r="223">
      <c r="D223" s="82"/>
      <c r="E223" s="152"/>
      <c r="P223" s="155"/>
    </row>
    <row r="224">
      <c r="D224" s="82"/>
      <c r="E224" s="152"/>
      <c r="P224" s="155"/>
    </row>
    <row r="225">
      <c r="D225" s="82"/>
      <c r="E225" s="152"/>
      <c r="P225" s="155"/>
    </row>
    <row r="226">
      <c r="D226" s="82"/>
      <c r="E226" s="152"/>
      <c r="P226" s="155"/>
    </row>
    <row r="227">
      <c r="D227" s="82"/>
      <c r="E227" s="152"/>
      <c r="P227" s="155"/>
    </row>
    <row r="228">
      <c r="D228" s="82"/>
      <c r="E228" s="152"/>
      <c r="P228" s="155"/>
    </row>
    <row r="229">
      <c r="D229" s="82"/>
      <c r="E229" s="152"/>
      <c r="P229" s="155"/>
    </row>
    <row r="230">
      <c r="D230" s="82"/>
      <c r="E230" s="152"/>
      <c r="P230" s="155"/>
    </row>
    <row r="231">
      <c r="D231" s="82"/>
      <c r="E231" s="152"/>
      <c r="P231" s="155"/>
    </row>
    <row r="232">
      <c r="D232" s="82"/>
      <c r="E232" s="152"/>
      <c r="P232" s="155"/>
    </row>
    <row r="233">
      <c r="D233" s="82"/>
      <c r="E233" s="152"/>
      <c r="P233" s="155"/>
    </row>
    <row r="234">
      <c r="D234" s="82"/>
      <c r="E234" s="152"/>
      <c r="P234" s="155"/>
    </row>
    <row r="235">
      <c r="D235" s="82"/>
      <c r="E235" s="152"/>
      <c r="P235" s="155"/>
    </row>
    <row r="236">
      <c r="D236" s="82"/>
      <c r="E236" s="152"/>
      <c r="P236" s="155"/>
    </row>
    <row r="237">
      <c r="D237" s="82"/>
      <c r="E237" s="152"/>
      <c r="P237" s="155"/>
    </row>
    <row r="238">
      <c r="D238" s="82"/>
      <c r="E238" s="152"/>
      <c r="P238" s="155"/>
    </row>
    <row r="239">
      <c r="D239" s="82"/>
      <c r="E239" s="152"/>
      <c r="P239" s="155"/>
    </row>
    <row r="240">
      <c r="D240" s="82"/>
      <c r="E240" s="152"/>
      <c r="P240" s="155"/>
    </row>
    <row r="241">
      <c r="D241" s="82"/>
      <c r="E241" s="152"/>
      <c r="P241" s="155"/>
    </row>
    <row r="242">
      <c r="D242" s="82"/>
      <c r="E242" s="152"/>
      <c r="P242" s="155"/>
    </row>
    <row r="243">
      <c r="D243" s="82"/>
      <c r="E243" s="152"/>
      <c r="P243" s="155"/>
    </row>
    <row r="244">
      <c r="D244" s="82"/>
      <c r="E244" s="152"/>
      <c r="P244" s="155"/>
    </row>
    <row r="245">
      <c r="D245" s="82"/>
      <c r="E245" s="152"/>
      <c r="P245" s="155"/>
    </row>
    <row r="246">
      <c r="D246" s="82"/>
      <c r="E246" s="152"/>
      <c r="P246" s="155"/>
    </row>
    <row r="247">
      <c r="D247" s="82"/>
      <c r="E247" s="152"/>
      <c r="P247" s="155"/>
    </row>
    <row r="248">
      <c r="D248" s="82"/>
      <c r="E248" s="152"/>
      <c r="P248" s="155"/>
    </row>
    <row r="249">
      <c r="D249" s="82"/>
      <c r="E249" s="152"/>
      <c r="P249" s="155"/>
    </row>
    <row r="250">
      <c r="D250" s="82"/>
      <c r="E250" s="152"/>
      <c r="P250" s="155"/>
    </row>
    <row r="251">
      <c r="D251" s="82"/>
      <c r="E251" s="152"/>
      <c r="P251" s="155"/>
    </row>
    <row r="252">
      <c r="D252" s="82"/>
      <c r="E252" s="152"/>
      <c r="P252" s="155"/>
    </row>
    <row r="253">
      <c r="D253" s="82"/>
      <c r="E253" s="152"/>
      <c r="P253" s="155"/>
    </row>
    <row r="254">
      <c r="D254" s="82"/>
      <c r="E254" s="152"/>
      <c r="P254" s="155"/>
    </row>
    <row r="255">
      <c r="D255" s="82"/>
      <c r="E255" s="152"/>
      <c r="P255" s="155"/>
    </row>
    <row r="256">
      <c r="D256" s="82"/>
      <c r="E256" s="152"/>
      <c r="P256" s="155"/>
    </row>
    <row r="257">
      <c r="D257" s="82"/>
      <c r="E257" s="152"/>
      <c r="P257" s="155"/>
    </row>
    <row r="258">
      <c r="D258" s="82"/>
      <c r="E258" s="152"/>
      <c r="P258" s="155"/>
    </row>
    <row r="259">
      <c r="D259" s="82"/>
      <c r="E259" s="152"/>
      <c r="P259" s="155"/>
    </row>
    <row r="260">
      <c r="D260" s="82"/>
      <c r="E260" s="152"/>
      <c r="P260" s="155"/>
    </row>
    <row r="261">
      <c r="D261" s="82"/>
      <c r="E261" s="152"/>
      <c r="P261" s="155"/>
    </row>
    <row r="262">
      <c r="D262" s="82"/>
      <c r="E262" s="152"/>
      <c r="P262" s="155"/>
    </row>
    <row r="263">
      <c r="D263" s="82"/>
      <c r="E263" s="152"/>
      <c r="P263" s="155"/>
    </row>
    <row r="264">
      <c r="D264" s="82"/>
      <c r="E264" s="152"/>
      <c r="P264" s="155"/>
    </row>
    <row r="265">
      <c r="D265" s="82"/>
      <c r="E265" s="152"/>
      <c r="P265" s="155"/>
    </row>
    <row r="266">
      <c r="D266" s="82"/>
      <c r="E266" s="152"/>
      <c r="P266" s="155"/>
    </row>
    <row r="267">
      <c r="D267" s="82"/>
      <c r="E267" s="152"/>
      <c r="P267" s="155"/>
    </row>
    <row r="268">
      <c r="D268" s="82"/>
      <c r="E268" s="152"/>
      <c r="P268" s="155"/>
    </row>
    <row r="269">
      <c r="D269" s="82"/>
      <c r="E269" s="152"/>
      <c r="P269" s="155"/>
    </row>
    <row r="270">
      <c r="D270" s="82"/>
      <c r="E270" s="152"/>
      <c r="P270" s="155"/>
    </row>
    <row r="271">
      <c r="D271" s="82"/>
      <c r="E271" s="152"/>
      <c r="P271" s="155"/>
    </row>
    <row r="272">
      <c r="D272" s="82"/>
      <c r="E272" s="152"/>
      <c r="P272" s="155"/>
    </row>
    <row r="273">
      <c r="D273" s="82"/>
      <c r="E273" s="152"/>
      <c r="P273" s="155"/>
    </row>
    <row r="274">
      <c r="D274" s="82"/>
      <c r="E274" s="152"/>
      <c r="P274" s="155"/>
    </row>
    <row r="275">
      <c r="D275" s="82"/>
      <c r="E275" s="152"/>
      <c r="P275" s="155"/>
    </row>
    <row r="276">
      <c r="D276" s="82"/>
      <c r="E276" s="152"/>
      <c r="P276" s="155"/>
    </row>
    <row r="277">
      <c r="D277" s="82"/>
      <c r="E277" s="152"/>
      <c r="P277" s="155"/>
    </row>
    <row r="278">
      <c r="D278" s="82"/>
      <c r="E278" s="152"/>
      <c r="P278" s="155"/>
    </row>
    <row r="279">
      <c r="D279" s="82"/>
      <c r="E279" s="152"/>
      <c r="P279" s="155"/>
    </row>
    <row r="280">
      <c r="D280" s="82"/>
      <c r="E280" s="152"/>
      <c r="P280" s="155"/>
    </row>
    <row r="281">
      <c r="D281" s="82"/>
      <c r="E281" s="152"/>
      <c r="P281" s="155"/>
    </row>
    <row r="282">
      <c r="D282" s="82"/>
      <c r="E282" s="152"/>
      <c r="P282" s="155"/>
    </row>
    <row r="283">
      <c r="D283" s="82"/>
      <c r="E283" s="152"/>
      <c r="P283" s="155"/>
    </row>
    <row r="284">
      <c r="D284" s="82"/>
      <c r="E284" s="152"/>
      <c r="P284" s="155"/>
    </row>
    <row r="285">
      <c r="D285" s="82"/>
      <c r="E285" s="152"/>
      <c r="P285" s="155"/>
    </row>
    <row r="286">
      <c r="D286" s="82"/>
      <c r="E286" s="152"/>
      <c r="P286" s="155"/>
    </row>
    <row r="287">
      <c r="D287" s="82"/>
      <c r="E287" s="152"/>
      <c r="P287" s="155"/>
    </row>
    <row r="288">
      <c r="D288" s="82"/>
      <c r="E288" s="152"/>
      <c r="P288" s="155"/>
    </row>
    <row r="289">
      <c r="D289" s="82"/>
      <c r="E289" s="152"/>
      <c r="P289" s="155"/>
    </row>
    <row r="290">
      <c r="D290" s="82"/>
      <c r="E290" s="152"/>
      <c r="P290" s="155"/>
    </row>
    <row r="291">
      <c r="D291" s="82"/>
      <c r="E291" s="152"/>
      <c r="P291" s="155"/>
    </row>
    <row r="292">
      <c r="D292" s="82"/>
      <c r="E292" s="152"/>
      <c r="P292" s="155"/>
    </row>
    <row r="293">
      <c r="D293" s="82"/>
      <c r="E293" s="152"/>
      <c r="P293" s="155"/>
    </row>
    <row r="294">
      <c r="D294" s="82"/>
      <c r="E294" s="152"/>
      <c r="P294" s="155"/>
    </row>
    <row r="295">
      <c r="D295" s="82"/>
      <c r="E295" s="152"/>
      <c r="P295" s="155"/>
    </row>
    <row r="296">
      <c r="D296" s="82"/>
      <c r="E296" s="152"/>
      <c r="P296" s="155"/>
    </row>
    <row r="297">
      <c r="D297" s="82"/>
      <c r="E297" s="152"/>
      <c r="P297" s="155"/>
    </row>
    <row r="298">
      <c r="D298" s="82"/>
      <c r="E298" s="152"/>
      <c r="P298" s="155"/>
    </row>
    <row r="299">
      <c r="D299" s="82"/>
      <c r="E299" s="152"/>
      <c r="P299" s="155"/>
    </row>
    <row r="300">
      <c r="D300" s="82"/>
      <c r="E300" s="152"/>
      <c r="P300" s="155"/>
    </row>
    <row r="301">
      <c r="D301" s="82"/>
      <c r="E301" s="152"/>
      <c r="P301" s="155"/>
    </row>
    <row r="302">
      <c r="D302" s="82"/>
      <c r="E302" s="152"/>
      <c r="P302" s="155"/>
    </row>
    <row r="303">
      <c r="D303" s="82"/>
      <c r="E303" s="152"/>
      <c r="P303" s="155"/>
    </row>
    <row r="304">
      <c r="D304" s="82"/>
      <c r="E304" s="152"/>
      <c r="P304" s="155"/>
    </row>
    <row r="305">
      <c r="D305" s="82"/>
      <c r="E305" s="152"/>
      <c r="P305" s="155"/>
    </row>
    <row r="306">
      <c r="D306" s="82"/>
      <c r="E306" s="152"/>
      <c r="P306" s="155"/>
    </row>
    <row r="307">
      <c r="D307" s="82"/>
      <c r="E307" s="152"/>
      <c r="P307" s="155"/>
    </row>
    <row r="308">
      <c r="D308" s="82"/>
      <c r="E308" s="152"/>
      <c r="P308" s="155"/>
    </row>
    <row r="309">
      <c r="D309" s="82"/>
      <c r="E309" s="152"/>
      <c r="P309" s="155"/>
    </row>
    <row r="310">
      <c r="D310" s="82"/>
      <c r="E310" s="152"/>
      <c r="P310" s="155"/>
    </row>
    <row r="311">
      <c r="D311" s="82"/>
      <c r="E311" s="152"/>
      <c r="P311" s="155"/>
    </row>
    <row r="312">
      <c r="D312" s="82"/>
      <c r="E312" s="152"/>
      <c r="P312" s="155"/>
    </row>
    <row r="313">
      <c r="D313" s="82"/>
      <c r="E313" s="152"/>
      <c r="P313" s="155"/>
    </row>
    <row r="314">
      <c r="D314" s="82"/>
      <c r="E314" s="152"/>
      <c r="P314" s="155"/>
    </row>
    <row r="315">
      <c r="D315" s="82"/>
      <c r="E315" s="152"/>
      <c r="P315" s="155"/>
    </row>
    <row r="316">
      <c r="D316" s="82"/>
      <c r="E316" s="152"/>
      <c r="P316" s="155"/>
    </row>
    <row r="317">
      <c r="D317" s="82"/>
      <c r="E317" s="152"/>
      <c r="P317" s="155"/>
    </row>
    <row r="318">
      <c r="D318" s="82"/>
      <c r="E318" s="152"/>
      <c r="P318" s="155"/>
    </row>
    <row r="319">
      <c r="D319" s="82"/>
      <c r="E319" s="152"/>
      <c r="P319" s="155"/>
    </row>
    <row r="320">
      <c r="D320" s="82"/>
      <c r="E320" s="152"/>
      <c r="P320" s="155"/>
    </row>
    <row r="321">
      <c r="D321" s="82"/>
      <c r="E321" s="152"/>
      <c r="P321" s="155"/>
    </row>
    <row r="322">
      <c r="D322" s="82"/>
      <c r="E322" s="152"/>
      <c r="P322" s="155"/>
    </row>
    <row r="323">
      <c r="D323" s="82"/>
      <c r="E323" s="152"/>
      <c r="P323" s="155"/>
    </row>
    <row r="324">
      <c r="D324" s="82"/>
      <c r="E324" s="152"/>
      <c r="P324" s="155"/>
    </row>
    <row r="325">
      <c r="D325" s="82"/>
      <c r="E325" s="152"/>
      <c r="P325" s="155"/>
    </row>
    <row r="326">
      <c r="D326" s="82"/>
      <c r="E326" s="152"/>
      <c r="P326" s="155"/>
    </row>
    <row r="327">
      <c r="D327" s="82"/>
      <c r="E327" s="152"/>
      <c r="P327" s="155"/>
    </row>
    <row r="328">
      <c r="D328" s="82"/>
      <c r="E328" s="152"/>
      <c r="P328" s="155"/>
    </row>
    <row r="329">
      <c r="D329" s="82"/>
      <c r="E329" s="152"/>
      <c r="P329" s="155"/>
    </row>
    <row r="330">
      <c r="D330" s="82"/>
      <c r="E330" s="152"/>
      <c r="P330" s="155"/>
    </row>
    <row r="331">
      <c r="D331" s="82"/>
      <c r="E331" s="152"/>
      <c r="P331" s="155"/>
    </row>
    <row r="332">
      <c r="D332" s="82"/>
      <c r="E332" s="152"/>
      <c r="P332" s="155"/>
    </row>
    <row r="333">
      <c r="D333" s="82"/>
      <c r="E333" s="152"/>
      <c r="P333" s="155"/>
    </row>
    <row r="334">
      <c r="D334" s="82"/>
      <c r="E334" s="152"/>
      <c r="P334" s="155"/>
    </row>
    <row r="335">
      <c r="D335" s="82"/>
      <c r="E335" s="152"/>
      <c r="P335" s="155"/>
    </row>
    <row r="336">
      <c r="D336" s="82"/>
      <c r="E336" s="152"/>
      <c r="P336" s="155"/>
    </row>
    <row r="337">
      <c r="D337" s="82"/>
      <c r="E337" s="152"/>
      <c r="P337" s="155"/>
    </row>
    <row r="338">
      <c r="D338" s="82"/>
      <c r="E338" s="152"/>
      <c r="P338" s="155"/>
    </row>
    <row r="339">
      <c r="D339" s="82"/>
      <c r="E339" s="152"/>
      <c r="P339" s="155"/>
    </row>
    <row r="340">
      <c r="D340" s="82"/>
      <c r="E340" s="152"/>
      <c r="P340" s="155"/>
    </row>
    <row r="341">
      <c r="D341" s="82"/>
      <c r="E341" s="152"/>
      <c r="P341" s="155"/>
    </row>
    <row r="342">
      <c r="D342" s="82"/>
      <c r="E342" s="152"/>
      <c r="P342" s="155"/>
    </row>
    <row r="343">
      <c r="D343" s="82"/>
      <c r="E343" s="152"/>
      <c r="P343" s="155"/>
    </row>
    <row r="344">
      <c r="D344" s="82"/>
      <c r="E344" s="152"/>
      <c r="P344" s="155"/>
    </row>
    <row r="345">
      <c r="D345" s="82"/>
      <c r="E345" s="152"/>
      <c r="P345" s="155"/>
    </row>
    <row r="346">
      <c r="D346" s="82"/>
      <c r="E346" s="152"/>
      <c r="P346" s="155"/>
    </row>
    <row r="347">
      <c r="D347" s="82"/>
      <c r="E347" s="152"/>
      <c r="P347" s="155"/>
    </row>
    <row r="348">
      <c r="D348" s="82"/>
      <c r="E348" s="152"/>
      <c r="P348" s="155"/>
    </row>
    <row r="349">
      <c r="D349" s="82"/>
      <c r="E349" s="152"/>
      <c r="P349" s="155"/>
    </row>
    <row r="350">
      <c r="D350" s="82"/>
      <c r="E350" s="152"/>
      <c r="P350" s="155"/>
    </row>
    <row r="351">
      <c r="D351" s="82"/>
      <c r="E351" s="152"/>
      <c r="P351" s="155"/>
    </row>
    <row r="352">
      <c r="D352" s="82"/>
      <c r="E352" s="152"/>
      <c r="P352" s="155"/>
    </row>
    <row r="353">
      <c r="D353" s="82"/>
      <c r="E353" s="152"/>
      <c r="P353" s="155"/>
    </row>
    <row r="354">
      <c r="D354" s="82"/>
      <c r="E354" s="152"/>
      <c r="P354" s="155"/>
    </row>
    <row r="355">
      <c r="D355" s="82"/>
      <c r="E355" s="152"/>
      <c r="P355" s="155"/>
    </row>
    <row r="356">
      <c r="D356" s="82"/>
      <c r="E356" s="152"/>
      <c r="P356" s="155"/>
    </row>
    <row r="357">
      <c r="D357" s="82"/>
      <c r="E357" s="152"/>
      <c r="P357" s="155"/>
    </row>
    <row r="358">
      <c r="D358" s="82"/>
      <c r="E358" s="152"/>
      <c r="P358" s="155"/>
    </row>
    <row r="359">
      <c r="D359" s="82"/>
      <c r="E359" s="152"/>
      <c r="P359" s="155"/>
    </row>
    <row r="360">
      <c r="D360" s="82"/>
      <c r="E360" s="152"/>
      <c r="P360" s="155"/>
    </row>
    <row r="361">
      <c r="D361" s="82"/>
      <c r="E361" s="152"/>
      <c r="P361" s="155"/>
    </row>
    <row r="362">
      <c r="D362" s="82"/>
      <c r="E362" s="152"/>
      <c r="P362" s="155"/>
    </row>
    <row r="363">
      <c r="D363" s="82"/>
      <c r="E363" s="152"/>
      <c r="P363" s="155"/>
    </row>
    <row r="364">
      <c r="D364" s="82"/>
      <c r="E364" s="152"/>
      <c r="P364" s="155"/>
    </row>
    <row r="365">
      <c r="D365" s="82"/>
      <c r="E365" s="152"/>
      <c r="P365" s="155"/>
    </row>
    <row r="366">
      <c r="D366" s="82"/>
      <c r="E366" s="152"/>
      <c r="P366" s="155"/>
    </row>
    <row r="367">
      <c r="D367" s="82"/>
      <c r="E367" s="152"/>
      <c r="P367" s="155"/>
    </row>
    <row r="368">
      <c r="D368" s="82"/>
      <c r="E368" s="152"/>
      <c r="P368" s="155"/>
    </row>
    <row r="369">
      <c r="D369" s="82"/>
      <c r="E369" s="152"/>
      <c r="P369" s="155"/>
    </row>
    <row r="370">
      <c r="D370" s="82"/>
      <c r="E370" s="152"/>
      <c r="P370" s="155"/>
    </row>
    <row r="371">
      <c r="D371" s="82"/>
      <c r="E371" s="152"/>
      <c r="P371" s="155"/>
    </row>
    <row r="372">
      <c r="D372" s="82"/>
      <c r="E372" s="152"/>
      <c r="P372" s="155"/>
    </row>
    <row r="373">
      <c r="D373" s="82"/>
      <c r="E373" s="152"/>
      <c r="P373" s="155"/>
    </row>
    <row r="374">
      <c r="D374" s="82"/>
      <c r="E374" s="152"/>
      <c r="P374" s="155"/>
    </row>
    <row r="375">
      <c r="D375" s="82"/>
      <c r="E375" s="152"/>
      <c r="P375" s="155"/>
    </row>
    <row r="376">
      <c r="D376" s="82"/>
      <c r="E376" s="152"/>
      <c r="P376" s="155"/>
    </row>
    <row r="377">
      <c r="D377" s="82"/>
      <c r="E377" s="152"/>
      <c r="P377" s="155"/>
    </row>
    <row r="378">
      <c r="D378" s="82"/>
      <c r="E378" s="152"/>
      <c r="P378" s="155"/>
    </row>
    <row r="379">
      <c r="D379" s="82"/>
      <c r="E379" s="152"/>
      <c r="P379" s="155"/>
    </row>
    <row r="380">
      <c r="D380" s="82"/>
      <c r="E380" s="152"/>
      <c r="P380" s="155"/>
    </row>
    <row r="381">
      <c r="D381" s="82"/>
      <c r="E381" s="152"/>
      <c r="P381" s="155"/>
    </row>
    <row r="382">
      <c r="D382" s="82"/>
      <c r="E382" s="152"/>
      <c r="P382" s="155"/>
    </row>
    <row r="383">
      <c r="D383" s="82"/>
      <c r="E383" s="152"/>
      <c r="P383" s="155"/>
    </row>
    <row r="384">
      <c r="D384" s="82"/>
      <c r="E384" s="152"/>
      <c r="P384" s="155"/>
    </row>
    <row r="385">
      <c r="D385" s="82"/>
      <c r="E385" s="152"/>
      <c r="P385" s="155"/>
    </row>
    <row r="386">
      <c r="D386" s="82"/>
      <c r="E386" s="152"/>
      <c r="P386" s="155"/>
    </row>
    <row r="387">
      <c r="D387" s="82"/>
      <c r="E387" s="152"/>
      <c r="P387" s="155"/>
    </row>
    <row r="388">
      <c r="D388" s="82"/>
      <c r="E388" s="152"/>
      <c r="P388" s="155"/>
    </row>
    <row r="389">
      <c r="D389" s="82"/>
      <c r="E389" s="152"/>
      <c r="P389" s="155"/>
    </row>
    <row r="390">
      <c r="D390" s="82"/>
      <c r="E390" s="152"/>
      <c r="P390" s="155"/>
    </row>
    <row r="391">
      <c r="D391" s="82"/>
      <c r="E391" s="152"/>
      <c r="P391" s="155"/>
    </row>
    <row r="392">
      <c r="D392" s="82"/>
      <c r="E392" s="152"/>
      <c r="P392" s="155"/>
    </row>
    <row r="393">
      <c r="D393" s="82"/>
      <c r="E393" s="152"/>
      <c r="P393" s="155"/>
    </row>
    <row r="394">
      <c r="D394" s="82"/>
      <c r="E394" s="152"/>
      <c r="P394" s="155"/>
    </row>
    <row r="395">
      <c r="D395" s="82"/>
      <c r="E395" s="152"/>
      <c r="P395" s="155"/>
    </row>
    <row r="396">
      <c r="D396" s="82"/>
      <c r="E396" s="152"/>
      <c r="P396" s="155"/>
    </row>
    <row r="397">
      <c r="D397" s="82"/>
      <c r="E397" s="152"/>
      <c r="P397" s="155"/>
    </row>
    <row r="398">
      <c r="D398" s="82"/>
      <c r="E398" s="152"/>
      <c r="P398" s="155"/>
    </row>
    <row r="399">
      <c r="D399" s="82"/>
      <c r="E399" s="152"/>
      <c r="P399" s="155"/>
    </row>
    <row r="400">
      <c r="D400" s="82"/>
      <c r="E400" s="152"/>
      <c r="P400" s="155"/>
    </row>
    <row r="401">
      <c r="D401" s="82"/>
      <c r="E401" s="152"/>
      <c r="P401" s="155"/>
    </row>
    <row r="402">
      <c r="D402" s="82"/>
      <c r="E402" s="152"/>
      <c r="P402" s="155"/>
    </row>
    <row r="403">
      <c r="D403" s="82"/>
      <c r="E403" s="152"/>
      <c r="P403" s="155"/>
    </row>
    <row r="404">
      <c r="D404" s="82"/>
      <c r="E404" s="152"/>
      <c r="P404" s="155"/>
    </row>
    <row r="405">
      <c r="D405" s="82"/>
      <c r="E405" s="152"/>
      <c r="P405" s="155"/>
    </row>
    <row r="406">
      <c r="D406" s="82"/>
      <c r="E406" s="152"/>
      <c r="P406" s="155"/>
    </row>
    <row r="407">
      <c r="D407" s="82"/>
      <c r="E407" s="152"/>
      <c r="P407" s="155"/>
    </row>
    <row r="408">
      <c r="D408" s="82"/>
      <c r="E408" s="152"/>
      <c r="P408" s="155"/>
    </row>
    <row r="409">
      <c r="D409" s="82"/>
      <c r="E409" s="152"/>
      <c r="P409" s="155"/>
    </row>
    <row r="410">
      <c r="D410" s="82"/>
      <c r="E410" s="152"/>
      <c r="P410" s="155"/>
    </row>
    <row r="411">
      <c r="D411" s="82"/>
      <c r="E411" s="152"/>
      <c r="P411" s="155"/>
    </row>
    <row r="412">
      <c r="D412" s="82"/>
      <c r="E412" s="152"/>
      <c r="P412" s="155"/>
    </row>
    <row r="413">
      <c r="D413" s="82"/>
      <c r="E413" s="152"/>
      <c r="P413" s="155"/>
    </row>
    <row r="414">
      <c r="D414" s="82"/>
      <c r="E414" s="152"/>
      <c r="P414" s="155"/>
    </row>
    <row r="415">
      <c r="D415" s="82"/>
      <c r="E415" s="152"/>
      <c r="P415" s="155"/>
    </row>
    <row r="416">
      <c r="D416" s="82"/>
      <c r="E416" s="152"/>
      <c r="P416" s="155"/>
    </row>
    <row r="417">
      <c r="D417" s="82"/>
      <c r="E417" s="152"/>
      <c r="P417" s="155"/>
    </row>
    <row r="418">
      <c r="D418" s="82"/>
      <c r="E418" s="152"/>
      <c r="P418" s="155"/>
    </row>
    <row r="419">
      <c r="D419" s="82"/>
      <c r="E419" s="152"/>
      <c r="P419" s="155"/>
    </row>
    <row r="420">
      <c r="D420" s="82"/>
      <c r="E420" s="152"/>
      <c r="P420" s="155"/>
    </row>
    <row r="421">
      <c r="D421" s="82"/>
      <c r="E421" s="152"/>
      <c r="P421" s="155"/>
    </row>
    <row r="422">
      <c r="D422" s="82"/>
      <c r="E422" s="152"/>
      <c r="P422" s="155"/>
    </row>
    <row r="423">
      <c r="D423" s="82"/>
      <c r="E423" s="152"/>
      <c r="P423" s="155"/>
    </row>
    <row r="424">
      <c r="D424" s="82"/>
      <c r="E424" s="152"/>
      <c r="P424" s="155"/>
    </row>
    <row r="425">
      <c r="D425" s="82"/>
      <c r="E425" s="152"/>
      <c r="P425" s="155"/>
    </row>
    <row r="426">
      <c r="D426" s="82"/>
      <c r="E426" s="152"/>
      <c r="P426" s="155"/>
    </row>
    <row r="427">
      <c r="D427" s="82"/>
      <c r="E427" s="152"/>
      <c r="P427" s="155"/>
    </row>
    <row r="428">
      <c r="D428" s="82"/>
      <c r="E428" s="152"/>
      <c r="P428" s="155"/>
    </row>
    <row r="429">
      <c r="D429" s="82"/>
      <c r="E429" s="152"/>
      <c r="P429" s="155"/>
    </row>
    <row r="430">
      <c r="D430" s="82"/>
      <c r="E430" s="152"/>
      <c r="P430" s="155"/>
    </row>
    <row r="431">
      <c r="D431" s="82"/>
      <c r="E431" s="152"/>
      <c r="P431" s="155"/>
    </row>
    <row r="432">
      <c r="D432" s="82"/>
      <c r="E432" s="152"/>
      <c r="P432" s="155"/>
    </row>
    <row r="433">
      <c r="D433" s="82"/>
      <c r="E433" s="152"/>
      <c r="P433" s="155"/>
    </row>
    <row r="434">
      <c r="D434" s="82"/>
      <c r="E434" s="152"/>
      <c r="P434" s="155"/>
    </row>
    <row r="435">
      <c r="D435" s="82"/>
      <c r="E435" s="152"/>
      <c r="P435" s="155"/>
    </row>
    <row r="436">
      <c r="D436" s="82"/>
      <c r="E436" s="152"/>
      <c r="P436" s="155"/>
    </row>
    <row r="437">
      <c r="D437" s="82"/>
      <c r="E437" s="152"/>
      <c r="P437" s="155"/>
    </row>
    <row r="438">
      <c r="D438" s="82"/>
      <c r="E438" s="152"/>
      <c r="P438" s="155"/>
    </row>
    <row r="439">
      <c r="D439" s="82"/>
      <c r="E439" s="152"/>
      <c r="P439" s="155"/>
    </row>
    <row r="440">
      <c r="D440" s="82"/>
      <c r="E440" s="152"/>
      <c r="P440" s="155"/>
    </row>
    <row r="441">
      <c r="D441" s="82"/>
      <c r="E441" s="152"/>
      <c r="P441" s="155"/>
    </row>
    <row r="442">
      <c r="D442" s="82"/>
      <c r="E442" s="152"/>
      <c r="P442" s="155"/>
    </row>
    <row r="443">
      <c r="D443" s="82"/>
      <c r="E443" s="152"/>
      <c r="P443" s="155"/>
    </row>
    <row r="444">
      <c r="D444" s="82"/>
      <c r="E444" s="152"/>
      <c r="P444" s="155"/>
    </row>
    <row r="445">
      <c r="D445" s="82"/>
      <c r="E445" s="152"/>
      <c r="P445" s="155"/>
    </row>
    <row r="446">
      <c r="D446" s="82"/>
      <c r="E446" s="152"/>
      <c r="P446" s="155"/>
    </row>
    <row r="447">
      <c r="D447" s="82"/>
      <c r="E447" s="152"/>
      <c r="P447" s="155"/>
    </row>
    <row r="448">
      <c r="D448" s="82"/>
      <c r="E448" s="152"/>
      <c r="P448" s="155"/>
    </row>
    <row r="449">
      <c r="D449" s="82"/>
      <c r="E449" s="152"/>
      <c r="P449" s="155"/>
    </row>
    <row r="450">
      <c r="D450" s="82"/>
      <c r="E450" s="152"/>
      <c r="P450" s="155"/>
    </row>
    <row r="451">
      <c r="D451" s="82"/>
      <c r="E451" s="152"/>
      <c r="P451" s="155"/>
    </row>
    <row r="452">
      <c r="D452" s="82"/>
      <c r="E452" s="152"/>
      <c r="P452" s="155"/>
    </row>
    <row r="453">
      <c r="D453" s="82"/>
      <c r="E453" s="152"/>
      <c r="P453" s="155"/>
    </row>
    <row r="454">
      <c r="D454" s="82"/>
      <c r="E454" s="152"/>
      <c r="P454" s="155"/>
    </row>
    <row r="455">
      <c r="D455" s="82"/>
      <c r="E455" s="152"/>
      <c r="P455" s="155"/>
    </row>
    <row r="456">
      <c r="D456" s="82"/>
      <c r="E456" s="152"/>
      <c r="P456" s="155"/>
    </row>
    <row r="457">
      <c r="D457" s="82"/>
      <c r="E457" s="152"/>
      <c r="P457" s="155"/>
    </row>
    <row r="458">
      <c r="D458" s="82"/>
      <c r="E458" s="152"/>
      <c r="P458" s="155"/>
    </row>
    <row r="459">
      <c r="D459" s="82"/>
      <c r="E459" s="152"/>
      <c r="P459" s="155"/>
    </row>
    <row r="460">
      <c r="D460" s="82"/>
      <c r="E460" s="152"/>
      <c r="P460" s="155"/>
    </row>
    <row r="461">
      <c r="D461" s="82"/>
      <c r="E461" s="152"/>
      <c r="P461" s="155"/>
    </row>
    <row r="462">
      <c r="D462" s="82"/>
      <c r="E462" s="152"/>
      <c r="P462" s="155"/>
    </row>
    <row r="463">
      <c r="D463" s="82"/>
      <c r="E463" s="152"/>
      <c r="P463" s="155"/>
    </row>
    <row r="464">
      <c r="D464" s="82"/>
      <c r="E464" s="152"/>
      <c r="P464" s="155"/>
    </row>
    <row r="465">
      <c r="D465" s="82"/>
      <c r="E465" s="152"/>
      <c r="P465" s="155"/>
    </row>
    <row r="466">
      <c r="D466" s="82"/>
      <c r="E466" s="152"/>
      <c r="P466" s="155"/>
    </row>
    <row r="467">
      <c r="D467" s="82"/>
      <c r="E467" s="152"/>
      <c r="P467" s="155"/>
    </row>
    <row r="468">
      <c r="D468" s="82"/>
      <c r="E468" s="152"/>
      <c r="P468" s="155"/>
    </row>
    <row r="469">
      <c r="D469" s="82"/>
      <c r="E469" s="152"/>
      <c r="P469" s="155"/>
    </row>
    <row r="470">
      <c r="D470" s="82"/>
      <c r="E470" s="152"/>
      <c r="P470" s="155"/>
    </row>
    <row r="471">
      <c r="D471" s="82"/>
      <c r="E471" s="152"/>
      <c r="P471" s="155"/>
    </row>
    <row r="472">
      <c r="D472" s="82"/>
      <c r="E472" s="152"/>
      <c r="P472" s="155"/>
    </row>
    <row r="473">
      <c r="D473" s="82"/>
      <c r="E473" s="152"/>
      <c r="P473" s="155"/>
    </row>
    <row r="474">
      <c r="D474" s="82"/>
      <c r="E474" s="152"/>
      <c r="P474" s="155"/>
    </row>
    <row r="475">
      <c r="D475" s="82"/>
      <c r="E475" s="152"/>
      <c r="P475" s="155"/>
    </row>
    <row r="476">
      <c r="D476" s="82"/>
      <c r="E476" s="152"/>
      <c r="P476" s="155"/>
    </row>
    <row r="477">
      <c r="D477" s="82"/>
      <c r="E477" s="152"/>
      <c r="P477" s="155"/>
    </row>
    <row r="478">
      <c r="D478" s="82"/>
      <c r="E478" s="152"/>
      <c r="P478" s="155"/>
    </row>
    <row r="479">
      <c r="D479" s="82"/>
      <c r="E479" s="152"/>
      <c r="P479" s="155"/>
    </row>
    <row r="480">
      <c r="D480" s="82"/>
      <c r="E480" s="152"/>
      <c r="P480" s="155"/>
    </row>
    <row r="481">
      <c r="D481" s="82"/>
      <c r="E481" s="152"/>
      <c r="P481" s="155"/>
    </row>
    <row r="482">
      <c r="D482" s="82"/>
      <c r="E482" s="152"/>
      <c r="P482" s="155"/>
    </row>
    <row r="483">
      <c r="D483" s="82"/>
      <c r="E483" s="152"/>
      <c r="P483" s="155"/>
    </row>
    <row r="484">
      <c r="D484" s="82"/>
      <c r="E484" s="152"/>
      <c r="P484" s="155"/>
    </row>
    <row r="485">
      <c r="D485" s="82"/>
      <c r="E485" s="152"/>
      <c r="P485" s="155"/>
    </row>
    <row r="486">
      <c r="D486" s="82"/>
      <c r="E486" s="152"/>
      <c r="P486" s="155"/>
    </row>
    <row r="487">
      <c r="D487" s="82"/>
      <c r="E487" s="152"/>
      <c r="P487" s="155"/>
    </row>
    <row r="488">
      <c r="D488" s="82"/>
      <c r="E488" s="152"/>
      <c r="P488" s="155"/>
    </row>
    <row r="489">
      <c r="D489" s="82"/>
      <c r="E489" s="152"/>
      <c r="P489" s="155"/>
    </row>
    <row r="490">
      <c r="D490" s="82"/>
      <c r="E490" s="152"/>
      <c r="P490" s="155"/>
    </row>
    <row r="491">
      <c r="D491" s="82"/>
      <c r="E491" s="152"/>
      <c r="P491" s="155"/>
    </row>
    <row r="492">
      <c r="D492" s="82"/>
      <c r="E492" s="152"/>
      <c r="P492" s="155"/>
    </row>
    <row r="493">
      <c r="D493" s="82"/>
      <c r="E493" s="152"/>
      <c r="P493" s="155"/>
    </row>
    <row r="494">
      <c r="D494" s="82"/>
      <c r="E494" s="152"/>
      <c r="P494" s="155"/>
    </row>
    <row r="495">
      <c r="D495" s="82"/>
      <c r="E495" s="152"/>
      <c r="P495" s="155"/>
    </row>
    <row r="496">
      <c r="D496" s="82"/>
      <c r="E496" s="152"/>
      <c r="P496" s="155"/>
    </row>
    <row r="497">
      <c r="D497" s="82"/>
      <c r="E497" s="152"/>
      <c r="P497" s="155"/>
    </row>
    <row r="498">
      <c r="D498" s="82"/>
      <c r="E498" s="152"/>
      <c r="P498" s="155"/>
    </row>
    <row r="499">
      <c r="D499" s="82"/>
      <c r="E499" s="152"/>
      <c r="P499" s="155"/>
    </row>
    <row r="500">
      <c r="D500" s="82"/>
      <c r="E500" s="152"/>
      <c r="P500" s="155"/>
    </row>
    <row r="501">
      <c r="D501" s="82"/>
      <c r="E501" s="152"/>
      <c r="P501" s="155"/>
    </row>
    <row r="502">
      <c r="D502" s="82"/>
      <c r="E502" s="152"/>
      <c r="P502" s="155"/>
    </row>
    <row r="503">
      <c r="D503" s="82"/>
      <c r="E503" s="152"/>
      <c r="P503" s="155"/>
    </row>
    <row r="504">
      <c r="D504" s="82"/>
      <c r="E504" s="152"/>
      <c r="P504" s="155"/>
    </row>
    <row r="505">
      <c r="D505" s="82"/>
      <c r="E505" s="152"/>
      <c r="P505" s="155"/>
    </row>
    <row r="506">
      <c r="D506" s="82"/>
      <c r="E506" s="152"/>
      <c r="P506" s="155"/>
    </row>
    <row r="507">
      <c r="D507" s="82"/>
      <c r="E507" s="152"/>
      <c r="P507" s="155"/>
    </row>
    <row r="508">
      <c r="D508" s="82"/>
      <c r="E508" s="152"/>
      <c r="P508" s="155"/>
    </row>
    <row r="509">
      <c r="D509" s="82"/>
      <c r="E509" s="152"/>
      <c r="P509" s="155"/>
    </row>
    <row r="510">
      <c r="D510" s="82"/>
      <c r="E510" s="152"/>
      <c r="P510" s="155"/>
    </row>
    <row r="511">
      <c r="D511" s="82"/>
      <c r="E511" s="152"/>
      <c r="P511" s="155"/>
    </row>
    <row r="512">
      <c r="D512" s="82"/>
      <c r="E512" s="152"/>
      <c r="P512" s="155"/>
    </row>
    <row r="513">
      <c r="D513" s="82"/>
      <c r="E513" s="152"/>
      <c r="P513" s="155"/>
    </row>
    <row r="514">
      <c r="D514" s="82"/>
      <c r="E514" s="152"/>
      <c r="P514" s="155"/>
    </row>
    <row r="515">
      <c r="D515" s="82"/>
      <c r="E515" s="152"/>
      <c r="P515" s="155"/>
    </row>
    <row r="516">
      <c r="D516" s="82"/>
      <c r="E516" s="152"/>
      <c r="P516" s="155"/>
    </row>
    <row r="517">
      <c r="D517" s="82"/>
      <c r="E517" s="152"/>
      <c r="P517" s="155"/>
    </row>
    <row r="518">
      <c r="D518" s="82"/>
      <c r="E518" s="152"/>
      <c r="P518" s="155"/>
    </row>
    <row r="519">
      <c r="D519" s="82"/>
      <c r="E519" s="152"/>
      <c r="P519" s="155"/>
    </row>
    <row r="520">
      <c r="D520" s="82"/>
      <c r="E520" s="152"/>
      <c r="P520" s="155"/>
    </row>
    <row r="521">
      <c r="D521" s="82"/>
      <c r="E521" s="152"/>
      <c r="P521" s="155"/>
    </row>
    <row r="522">
      <c r="D522" s="82"/>
      <c r="E522" s="152"/>
      <c r="P522" s="155"/>
    </row>
    <row r="523">
      <c r="D523" s="82"/>
      <c r="E523" s="152"/>
      <c r="P523" s="155"/>
    </row>
    <row r="524">
      <c r="D524" s="82"/>
      <c r="E524" s="152"/>
      <c r="P524" s="155"/>
    </row>
    <row r="525">
      <c r="D525" s="82"/>
      <c r="E525" s="152"/>
      <c r="P525" s="155"/>
    </row>
    <row r="526">
      <c r="D526" s="82"/>
      <c r="E526" s="152"/>
      <c r="P526" s="155"/>
    </row>
    <row r="527">
      <c r="D527" s="82"/>
      <c r="E527" s="152"/>
      <c r="P527" s="155"/>
    </row>
    <row r="528">
      <c r="D528" s="82"/>
      <c r="E528" s="152"/>
      <c r="P528" s="155"/>
    </row>
    <row r="529">
      <c r="D529" s="82"/>
      <c r="E529" s="152"/>
      <c r="P529" s="155"/>
    </row>
    <row r="530">
      <c r="D530" s="82"/>
      <c r="E530" s="152"/>
      <c r="P530" s="155"/>
    </row>
    <row r="531">
      <c r="D531" s="82"/>
      <c r="E531" s="152"/>
      <c r="P531" s="155"/>
    </row>
    <row r="532">
      <c r="D532" s="82"/>
      <c r="E532" s="152"/>
      <c r="P532" s="155"/>
    </row>
    <row r="533">
      <c r="D533" s="82"/>
      <c r="E533" s="152"/>
      <c r="P533" s="155"/>
    </row>
    <row r="534">
      <c r="D534" s="82"/>
      <c r="E534" s="152"/>
      <c r="P534" s="155"/>
    </row>
    <row r="535">
      <c r="D535" s="82"/>
      <c r="E535" s="152"/>
      <c r="P535" s="155"/>
    </row>
    <row r="536">
      <c r="D536" s="82"/>
      <c r="E536" s="152"/>
      <c r="P536" s="155"/>
    </row>
    <row r="537">
      <c r="D537" s="82"/>
      <c r="E537" s="152"/>
      <c r="P537" s="155"/>
    </row>
    <row r="538">
      <c r="D538" s="82"/>
      <c r="E538" s="152"/>
      <c r="P538" s="155"/>
    </row>
    <row r="539">
      <c r="D539" s="82"/>
      <c r="E539" s="152"/>
      <c r="P539" s="155"/>
    </row>
    <row r="540">
      <c r="D540" s="82"/>
      <c r="E540" s="152"/>
      <c r="P540" s="155"/>
    </row>
    <row r="541">
      <c r="D541" s="82"/>
      <c r="E541" s="152"/>
      <c r="P541" s="155"/>
    </row>
    <row r="542">
      <c r="D542" s="82"/>
      <c r="E542" s="152"/>
      <c r="P542" s="155"/>
    </row>
    <row r="543">
      <c r="D543" s="82"/>
      <c r="E543" s="152"/>
      <c r="P543" s="155"/>
    </row>
    <row r="544">
      <c r="D544" s="82"/>
      <c r="E544" s="152"/>
      <c r="P544" s="155"/>
    </row>
    <row r="545">
      <c r="D545" s="82"/>
      <c r="E545" s="152"/>
      <c r="P545" s="155"/>
    </row>
    <row r="546">
      <c r="D546" s="82"/>
      <c r="E546" s="152"/>
      <c r="P546" s="155"/>
    </row>
    <row r="547">
      <c r="D547" s="82"/>
      <c r="E547" s="152"/>
      <c r="P547" s="155"/>
    </row>
    <row r="548">
      <c r="D548" s="82"/>
      <c r="E548" s="152"/>
      <c r="P548" s="155"/>
    </row>
    <row r="549">
      <c r="D549" s="82"/>
      <c r="E549" s="152"/>
      <c r="P549" s="155"/>
    </row>
    <row r="550">
      <c r="D550" s="82"/>
      <c r="E550" s="152"/>
      <c r="P550" s="155"/>
    </row>
    <row r="551">
      <c r="D551" s="82"/>
      <c r="E551" s="152"/>
      <c r="P551" s="155"/>
    </row>
    <row r="552">
      <c r="D552" s="82"/>
      <c r="E552" s="152"/>
      <c r="P552" s="155"/>
    </row>
    <row r="553">
      <c r="D553" s="82"/>
      <c r="E553" s="152"/>
      <c r="P553" s="155"/>
    </row>
    <row r="554">
      <c r="D554" s="82"/>
      <c r="E554" s="152"/>
      <c r="P554" s="155"/>
    </row>
    <row r="555">
      <c r="D555" s="82"/>
      <c r="E555" s="152"/>
      <c r="P555" s="155"/>
    </row>
    <row r="556">
      <c r="D556" s="82"/>
      <c r="E556" s="152"/>
      <c r="P556" s="155"/>
    </row>
    <row r="557">
      <c r="D557" s="82"/>
      <c r="E557" s="152"/>
      <c r="P557" s="155"/>
    </row>
    <row r="558">
      <c r="D558" s="82"/>
      <c r="E558" s="152"/>
      <c r="P558" s="155"/>
    </row>
    <row r="559">
      <c r="D559" s="82"/>
      <c r="E559" s="152"/>
      <c r="P559" s="155"/>
    </row>
    <row r="560">
      <c r="D560" s="82"/>
      <c r="E560" s="152"/>
      <c r="P560" s="155"/>
    </row>
    <row r="561">
      <c r="D561" s="82"/>
      <c r="E561" s="152"/>
      <c r="P561" s="155"/>
    </row>
    <row r="562">
      <c r="D562" s="82"/>
      <c r="E562" s="152"/>
      <c r="P562" s="155"/>
    </row>
    <row r="563">
      <c r="D563" s="82"/>
      <c r="E563" s="152"/>
      <c r="P563" s="155"/>
    </row>
    <row r="564">
      <c r="D564" s="82"/>
      <c r="E564" s="152"/>
      <c r="P564" s="155"/>
    </row>
    <row r="565">
      <c r="D565" s="82"/>
      <c r="E565" s="152"/>
      <c r="P565" s="155"/>
    </row>
    <row r="566">
      <c r="D566" s="82"/>
      <c r="E566" s="152"/>
      <c r="P566" s="155"/>
    </row>
    <row r="567">
      <c r="D567" s="82"/>
      <c r="E567" s="152"/>
      <c r="P567" s="155"/>
    </row>
    <row r="568">
      <c r="D568" s="82"/>
      <c r="E568" s="152"/>
      <c r="P568" s="155"/>
    </row>
    <row r="569">
      <c r="D569" s="82"/>
      <c r="E569" s="152"/>
      <c r="P569" s="155"/>
    </row>
    <row r="570">
      <c r="D570" s="82"/>
      <c r="E570" s="152"/>
      <c r="P570" s="155"/>
    </row>
    <row r="571">
      <c r="D571" s="82"/>
      <c r="E571" s="152"/>
      <c r="P571" s="155"/>
    </row>
    <row r="572">
      <c r="D572" s="82"/>
      <c r="E572" s="152"/>
      <c r="P572" s="155"/>
    </row>
    <row r="573">
      <c r="D573" s="82"/>
      <c r="E573" s="152"/>
      <c r="P573" s="155"/>
    </row>
    <row r="574">
      <c r="D574" s="82"/>
      <c r="E574" s="152"/>
      <c r="P574" s="155"/>
    </row>
    <row r="575">
      <c r="D575" s="82"/>
      <c r="E575" s="152"/>
      <c r="P575" s="155"/>
    </row>
    <row r="576">
      <c r="D576" s="82"/>
      <c r="E576" s="152"/>
      <c r="P576" s="155"/>
    </row>
    <row r="577">
      <c r="D577" s="82"/>
      <c r="E577" s="152"/>
      <c r="P577" s="155"/>
    </row>
    <row r="578">
      <c r="D578" s="82"/>
      <c r="E578" s="152"/>
      <c r="P578" s="155"/>
    </row>
    <row r="579">
      <c r="D579" s="82"/>
      <c r="E579" s="152"/>
      <c r="P579" s="155"/>
    </row>
    <row r="580">
      <c r="D580" s="82"/>
      <c r="E580" s="152"/>
      <c r="P580" s="155"/>
    </row>
    <row r="581">
      <c r="D581" s="82"/>
      <c r="E581" s="152"/>
      <c r="P581" s="155"/>
    </row>
    <row r="582">
      <c r="D582" s="82"/>
      <c r="E582" s="152"/>
      <c r="P582" s="155"/>
    </row>
    <row r="583">
      <c r="D583" s="82"/>
      <c r="E583" s="152"/>
      <c r="P583" s="155"/>
    </row>
    <row r="584">
      <c r="D584" s="82"/>
      <c r="E584" s="152"/>
      <c r="P584" s="155"/>
    </row>
    <row r="585">
      <c r="D585" s="82"/>
      <c r="E585" s="152"/>
      <c r="P585" s="155"/>
    </row>
    <row r="586">
      <c r="D586" s="82"/>
      <c r="E586" s="152"/>
      <c r="P586" s="155"/>
    </row>
    <row r="587">
      <c r="D587" s="82"/>
      <c r="E587" s="152"/>
      <c r="P587" s="155"/>
    </row>
    <row r="588">
      <c r="D588" s="82"/>
      <c r="E588" s="152"/>
      <c r="P588" s="155"/>
    </row>
    <row r="589">
      <c r="D589" s="82"/>
      <c r="E589" s="152"/>
      <c r="P589" s="155"/>
    </row>
    <row r="590">
      <c r="D590" s="82"/>
      <c r="E590" s="152"/>
      <c r="P590" s="155"/>
    </row>
    <row r="591">
      <c r="D591" s="82"/>
      <c r="E591" s="152"/>
      <c r="P591" s="155"/>
    </row>
    <row r="592">
      <c r="D592" s="82"/>
      <c r="E592" s="152"/>
      <c r="P592" s="155"/>
    </row>
    <row r="593">
      <c r="D593" s="82"/>
      <c r="E593" s="152"/>
      <c r="P593" s="155"/>
    </row>
    <row r="594">
      <c r="D594" s="82"/>
      <c r="E594" s="152"/>
      <c r="P594" s="155"/>
    </row>
    <row r="595">
      <c r="D595" s="82"/>
      <c r="E595" s="152"/>
      <c r="P595" s="155"/>
    </row>
    <row r="596">
      <c r="D596" s="82"/>
      <c r="E596" s="152"/>
      <c r="P596" s="155"/>
    </row>
    <row r="597">
      <c r="D597" s="82"/>
      <c r="E597" s="152"/>
      <c r="P597" s="155"/>
    </row>
    <row r="598">
      <c r="D598" s="82"/>
      <c r="E598" s="152"/>
      <c r="P598" s="155"/>
    </row>
    <row r="599">
      <c r="D599" s="82"/>
      <c r="E599" s="152"/>
      <c r="P599" s="155"/>
    </row>
    <row r="600">
      <c r="D600" s="82"/>
      <c r="E600" s="152"/>
      <c r="P600" s="155"/>
    </row>
    <row r="601">
      <c r="D601" s="82"/>
      <c r="E601" s="152"/>
      <c r="P601" s="155"/>
    </row>
    <row r="602">
      <c r="D602" s="82"/>
      <c r="E602" s="152"/>
      <c r="P602" s="155"/>
    </row>
    <row r="603">
      <c r="D603" s="82"/>
      <c r="E603" s="152"/>
      <c r="P603" s="155"/>
    </row>
    <row r="604">
      <c r="D604" s="82"/>
      <c r="E604" s="152"/>
      <c r="P604" s="155"/>
    </row>
    <row r="605">
      <c r="D605" s="82"/>
      <c r="E605" s="152"/>
      <c r="P605" s="155"/>
    </row>
    <row r="606">
      <c r="D606" s="82"/>
      <c r="E606" s="152"/>
      <c r="P606" s="155"/>
    </row>
    <row r="607">
      <c r="D607" s="82"/>
      <c r="E607" s="152"/>
      <c r="P607" s="155"/>
    </row>
    <row r="608">
      <c r="D608" s="82"/>
      <c r="E608" s="152"/>
      <c r="P608" s="155"/>
    </row>
    <row r="609">
      <c r="D609" s="82"/>
      <c r="E609" s="152"/>
      <c r="P609" s="155"/>
    </row>
    <row r="610">
      <c r="D610" s="82"/>
      <c r="E610" s="152"/>
      <c r="P610" s="155"/>
    </row>
    <row r="611">
      <c r="D611" s="82"/>
      <c r="E611" s="152"/>
      <c r="P611" s="155"/>
    </row>
    <row r="612">
      <c r="D612" s="82"/>
      <c r="E612" s="152"/>
      <c r="P612" s="155"/>
    </row>
    <row r="613">
      <c r="D613" s="82"/>
      <c r="E613" s="152"/>
      <c r="P613" s="155"/>
    </row>
    <row r="614">
      <c r="D614" s="82"/>
      <c r="E614" s="152"/>
      <c r="P614" s="155"/>
    </row>
    <row r="615">
      <c r="D615" s="82"/>
      <c r="E615" s="152"/>
      <c r="P615" s="155"/>
    </row>
    <row r="616">
      <c r="D616" s="82"/>
      <c r="E616" s="152"/>
      <c r="P616" s="155"/>
    </row>
    <row r="617">
      <c r="D617" s="82"/>
      <c r="E617" s="152"/>
      <c r="P617" s="155"/>
    </row>
    <row r="618">
      <c r="D618" s="82"/>
      <c r="E618" s="152"/>
      <c r="P618" s="155"/>
    </row>
    <row r="619">
      <c r="D619" s="82"/>
      <c r="E619" s="152"/>
      <c r="P619" s="155"/>
    </row>
    <row r="620">
      <c r="D620" s="82"/>
      <c r="E620" s="152"/>
      <c r="P620" s="155"/>
    </row>
    <row r="621">
      <c r="D621" s="82"/>
      <c r="E621" s="152"/>
      <c r="P621" s="155"/>
    </row>
    <row r="622">
      <c r="D622" s="82"/>
      <c r="E622" s="152"/>
      <c r="P622" s="155"/>
    </row>
    <row r="623">
      <c r="D623" s="82"/>
      <c r="E623" s="152"/>
      <c r="P623" s="155"/>
    </row>
    <row r="624">
      <c r="D624" s="82"/>
      <c r="E624" s="152"/>
      <c r="P624" s="155"/>
    </row>
    <row r="625">
      <c r="D625" s="82"/>
      <c r="E625" s="152"/>
      <c r="P625" s="155"/>
    </row>
    <row r="626">
      <c r="D626" s="82"/>
      <c r="E626" s="152"/>
      <c r="P626" s="155"/>
    </row>
    <row r="627">
      <c r="D627" s="82"/>
      <c r="E627" s="152"/>
      <c r="P627" s="155"/>
    </row>
    <row r="628">
      <c r="D628" s="82"/>
      <c r="E628" s="152"/>
      <c r="P628" s="155"/>
    </row>
    <row r="629">
      <c r="D629" s="82"/>
      <c r="E629" s="152"/>
      <c r="P629" s="155"/>
    </row>
    <row r="630">
      <c r="D630" s="82"/>
      <c r="E630" s="152"/>
      <c r="P630" s="155"/>
    </row>
    <row r="631">
      <c r="D631" s="82"/>
      <c r="E631" s="152"/>
      <c r="P631" s="155"/>
    </row>
    <row r="632">
      <c r="D632" s="82"/>
      <c r="E632" s="152"/>
      <c r="P632" s="155"/>
    </row>
    <row r="633">
      <c r="D633" s="82"/>
      <c r="E633" s="152"/>
      <c r="P633" s="155"/>
    </row>
    <row r="634">
      <c r="D634" s="82"/>
      <c r="E634" s="152"/>
      <c r="P634" s="155"/>
    </row>
    <row r="635">
      <c r="D635" s="82"/>
      <c r="E635" s="152"/>
      <c r="P635" s="155"/>
    </row>
    <row r="636">
      <c r="D636" s="82"/>
      <c r="E636" s="152"/>
      <c r="P636" s="155"/>
    </row>
    <row r="637">
      <c r="D637" s="82"/>
      <c r="E637" s="152"/>
      <c r="P637" s="155"/>
    </row>
    <row r="638">
      <c r="D638" s="82"/>
      <c r="E638" s="152"/>
      <c r="P638" s="155"/>
    </row>
    <row r="639">
      <c r="D639" s="82"/>
      <c r="E639" s="152"/>
      <c r="P639" s="155"/>
    </row>
    <row r="640">
      <c r="D640" s="82"/>
      <c r="E640" s="152"/>
      <c r="P640" s="155"/>
    </row>
    <row r="641">
      <c r="D641" s="82"/>
      <c r="E641" s="152"/>
      <c r="P641" s="155"/>
    </row>
    <row r="642">
      <c r="D642" s="82"/>
      <c r="E642" s="152"/>
      <c r="P642" s="155"/>
    </row>
    <row r="643">
      <c r="D643" s="82"/>
      <c r="E643" s="152"/>
      <c r="P643" s="155"/>
    </row>
    <row r="644">
      <c r="D644" s="82"/>
      <c r="E644" s="152"/>
      <c r="P644" s="155"/>
    </row>
    <row r="645">
      <c r="D645" s="82"/>
      <c r="E645" s="152"/>
      <c r="P645" s="155"/>
    </row>
    <row r="646">
      <c r="D646" s="82"/>
      <c r="E646" s="152"/>
      <c r="P646" s="155"/>
    </row>
    <row r="647">
      <c r="D647" s="82"/>
      <c r="E647" s="152"/>
      <c r="P647" s="155"/>
    </row>
    <row r="648">
      <c r="D648" s="82"/>
      <c r="E648" s="152"/>
      <c r="P648" s="155"/>
    </row>
    <row r="649">
      <c r="D649" s="82"/>
      <c r="E649" s="152"/>
      <c r="P649" s="155"/>
    </row>
    <row r="650">
      <c r="D650" s="82"/>
      <c r="E650" s="152"/>
      <c r="P650" s="155"/>
    </row>
    <row r="651">
      <c r="D651" s="82"/>
      <c r="E651" s="152"/>
      <c r="P651" s="155"/>
    </row>
    <row r="652">
      <c r="D652" s="82"/>
      <c r="E652" s="152"/>
      <c r="P652" s="155"/>
    </row>
    <row r="653">
      <c r="D653" s="82"/>
      <c r="E653" s="152"/>
      <c r="P653" s="155"/>
    </row>
    <row r="654">
      <c r="D654" s="82"/>
      <c r="E654" s="152"/>
      <c r="P654" s="155"/>
    </row>
    <row r="655">
      <c r="D655" s="82"/>
      <c r="E655" s="152"/>
      <c r="P655" s="155"/>
    </row>
    <row r="656">
      <c r="D656" s="82"/>
      <c r="E656" s="152"/>
      <c r="P656" s="155"/>
    </row>
    <row r="657">
      <c r="D657" s="82"/>
      <c r="E657" s="152"/>
      <c r="P657" s="155"/>
    </row>
    <row r="658">
      <c r="D658" s="82"/>
      <c r="E658" s="152"/>
      <c r="P658" s="155"/>
    </row>
    <row r="659">
      <c r="D659" s="82"/>
      <c r="E659" s="152"/>
      <c r="P659" s="155"/>
    </row>
    <row r="660">
      <c r="D660" s="82"/>
      <c r="E660" s="152"/>
      <c r="P660" s="155"/>
    </row>
    <row r="661">
      <c r="D661" s="82"/>
      <c r="E661" s="152"/>
      <c r="P661" s="155"/>
    </row>
    <row r="662">
      <c r="D662" s="82"/>
      <c r="E662" s="152"/>
      <c r="P662" s="155"/>
    </row>
    <row r="663">
      <c r="D663" s="82"/>
      <c r="E663" s="152"/>
      <c r="P663" s="155"/>
    </row>
    <row r="664">
      <c r="D664" s="82"/>
      <c r="E664" s="152"/>
      <c r="P664" s="155"/>
    </row>
    <row r="665">
      <c r="D665" s="82"/>
      <c r="E665" s="152"/>
      <c r="P665" s="155"/>
    </row>
    <row r="666">
      <c r="D666" s="82"/>
      <c r="E666" s="152"/>
      <c r="P666" s="155"/>
    </row>
    <row r="667">
      <c r="D667" s="82"/>
      <c r="E667" s="152"/>
      <c r="P667" s="155"/>
    </row>
    <row r="668">
      <c r="D668" s="82"/>
      <c r="E668" s="152"/>
      <c r="P668" s="155"/>
    </row>
    <row r="669">
      <c r="D669" s="82"/>
      <c r="E669" s="152"/>
      <c r="P669" s="155"/>
    </row>
    <row r="670">
      <c r="D670" s="82"/>
      <c r="E670" s="152"/>
      <c r="P670" s="155"/>
    </row>
    <row r="671">
      <c r="D671" s="82"/>
      <c r="E671" s="152"/>
      <c r="P671" s="155"/>
    </row>
    <row r="672">
      <c r="D672" s="82"/>
      <c r="E672" s="152"/>
      <c r="P672" s="155"/>
    </row>
    <row r="673">
      <c r="D673" s="82"/>
      <c r="E673" s="152"/>
      <c r="P673" s="155"/>
    </row>
    <row r="674">
      <c r="D674" s="82"/>
      <c r="E674" s="152"/>
      <c r="P674" s="155"/>
    </row>
    <row r="675">
      <c r="D675" s="82"/>
      <c r="E675" s="152"/>
      <c r="P675" s="155"/>
    </row>
    <row r="676">
      <c r="D676" s="82"/>
      <c r="E676" s="152"/>
      <c r="P676" s="155"/>
    </row>
    <row r="677">
      <c r="D677" s="82"/>
      <c r="E677" s="152"/>
      <c r="P677" s="155"/>
    </row>
    <row r="678">
      <c r="D678" s="82"/>
      <c r="E678" s="152"/>
      <c r="P678" s="155"/>
    </row>
    <row r="679">
      <c r="D679" s="82"/>
      <c r="E679" s="152"/>
      <c r="P679" s="155"/>
    </row>
    <row r="680">
      <c r="D680" s="82"/>
      <c r="E680" s="152"/>
      <c r="P680" s="155"/>
    </row>
    <row r="681">
      <c r="D681" s="82"/>
      <c r="E681" s="152"/>
      <c r="P681" s="155"/>
    </row>
    <row r="682">
      <c r="D682" s="82"/>
      <c r="E682" s="152"/>
      <c r="P682" s="155"/>
    </row>
    <row r="683">
      <c r="D683" s="82"/>
      <c r="E683" s="152"/>
      <c r="P683" s="155"/>
    </row>
    <row r="684">
      <c r="D684" s="82"/>
      <c r="E684" s="152"/>
      <c r="P684" s="155"/>
    </row>
    <row r="685">
      <c r="D685" s="82"/>
      <c r="E685" s="152"/>
      <c r="P685" s="155"/>
    </row>
    <row r="686">
      <c r="D686" s="82"/>
      <c r="E686" s="152"/>
      <c r="P686" s="155"/>
    </row>
    <row r="687">
      <c r="D687" s="82"/>
      <c r="E687" s="152"/>
      <c r="P687" s="155"/>
    </row>
    <row r="688">
      <c r="D688" s="82"/>
      <c r="E688" s="152"/>
      <c r="P688" s="155"/>
    </row>
    <row r="689">
      <c r="D689" s="82"/>
      <c r="E689" s="152"/>
      <c r="P689" s="155"/>
    </row>
    <row r="690">
      <c r="D690" s="82"/>
      <c r="E690" s="152"/>
      <c r="P690" s="155"/>
    </row>
    <row r="691">
      <c r="D691" s="82"/>
      <c r="E691" s="152"/>
      <c r="P691" s="155"/>
    </row>
    <row r="692">
      <c r="D692" s="82"/>
      <c r="E692" s="152"/>
      <c r="P692" s="155"/>
    </row>
    <row r="693">
      <c r="D693" s="82"/>
      <c r="E693" s="152"/>
      <c r="P693" s="155"/>
    </row>
    <row r="694">
      <c r="D694" s="82"/>
      <c r="E694" s="152"/>
      <c r="P694" s="155"/>
    </row>
    <row r="695">
      <c r="D695" s="82"/>
      <c r="E695" s="152"/>
      <c r="P695" s="155"/>
    </row>
    <row r="696">
      <c r="D696" s="82"/>
      <c r="E696" s="152"/>
      <c r="P696" s="155"/>
    </row>
    <row r="697">
      <c r="D697" s="82"/>
      <c r="E697" s="152"/>
      <c r="P697" s="155"/>
    </row>
    <row r="698">
      <c r="D698" s="82"/>
      <c r="E698" s="152"/>
      <c r="P698" s="155"/>
    </row>
    <row r="699">
      <c r="D699" s="82"/>
      <c r="E699" s="152"/>
      <c r="P699" s="155"/>
    </row>
    <row r="700">
      <c r="D700" s="82"/>
      <c r="E700" s="152"/>
      <c r="P700" s="155"/>
    </row>
    <row r="701">
      <c r="D701" s="82"/>
      <c r="E701" s="152"/>
      <c r="P701" s="155"/>
    </row>
    <row r="702">
      <c r="D702" s="82"/>
      <c r="E702" s="152"/>
      <c r="P702" s="155"/>
    </row>
    <row r="703">
      <c r="D703" s="82"/>
      <c r="E703" s="152"/>
      <c r="P703" s="155"/>
    </row>
    <row r="704">
      <c r="D704" s="82"/>
      <c r="E704" s="152"/>
      <c r="P704" s="155"/>
    </row>
    <row r="705">
      <c r="D705" s="82"/>
      <c r="E705" s="152"/>
      <c r="P705" s="155"/>
    </row>
    <row r="706">
      <c r="D706" s="82"/>
      <c r="E706" s="152"/>
      <c r="P706" s="155"/>
    </row>
    <row r="707">
      <c r="D707" s="82"/>
      <c r="E707" s="152"/>
      <c r="P707" s="155"/>
    </row>
    <row r="708">
      <c r="D708" s="82"/>
      <c r="E708" s="152"/>
      <c r="P708" s="155"/>
    </row>
    <row r="709">
      <c r="D709" s="82"/>
      <c r="E709" s="152"/>
      <c r="P709" s="155"/>
    </row>
    <row r="710">
      <c r="D710" s="82"/>
      <c r="E710" s="152"/>
      <c r="P710" s="155"/>
    </row>
    <row r="711">
      <c r="D711" s="82"/>
      <c r="E711" s="152"/>
      <c r="P711" s="155"/>
    </row>
    <row r="712">
      <c r="D712" s="82"/>
      <c r="E712" s="152"/>
      <c r="P712" s="155"/>
    </row>
    <row r="713">
      <c r="D713" s="82"/>
      <c r="E713" s="152"/>
      <c r="P713" s="155"/>
    </row>
    <row r="714">
      <c r="D714" s="82"/>
      <c r="E714" s="152"/>
      <c r="P714" s="155"/>
    </row>
    <row r="715">
      <c r="D715" s="82"/>
      <c r="E715" s="152"/>
      <c r="P715" s="155"/>
    </row>
    <row r="716">
      <c r="D716" s="82"/>
      <c r="E716" s="152"/>
      <c r="P716" s="155"/>
    </row>
    <row r="717">
      <c r="D717" s="82"/>
      <c r="E717" s="152"/>
      <c r="P717" s="155"/>
    </row>
    <row r="718">
      <c r="D718" s="82"/>
      <c r="E718" s="152"/>
      <c r="P718" s="155"/>
    </row>
    <row r="719">
      <c r="D719" s="82"/>
      <c r="E719" s="152"/>
      <c r="P719" s="155"/>
    </row>
    <row r="720">
      <c r="D720" s="82"/>
      <c r="E720" s="152"/>
      <c r="P720" s="155"/>
    </row>
    <row r="721">
      <c r="D721" s="82"/>
      <c r="E721" s="152"/>
      <c r="P721" s="155"/>
    </row>
    <row r="722">
      <c r="D722" s="82"/>
      <c r="E722" s="152"/>
      <c r="P722" s="155"/>
    </row>
    <row r="723">
      <c r="D723" s="82"/>
      <c r="E723" s="152"/>
      <c r="P723" s="155"/>
    </row>
    <row r="724">
      <c r="D724" s="82"/>
      <c r="E724" s="152"/>
      <c r="P724" s="155"/>
    </row>
    <row r="725">
      <c r="D725" s="82"/>
      <c r="E725" s="152"/>
      <c r="P725" s="155"/>
    </row>
    <row r="726">
      <c r="D726" s="82"/>
      <c r="E726" s="152"/>
      <c r="P726" s="155"/>
    </row>
    <row r="727">
      <c r="D727" s="82"/>
      <c r="E727" s="152"/>
      <c r="P727" s="155"/>
    </row>
    <row r="728">
      <c r="D728" s="82"/>
      <c r="E728" s="152"/>
      <c r="P728" s="155"/>
    </row>
    <row r="729">
      <c r="D729" s="82"/>
      <c r="E729" s="152"/>
      <c r="P729" s="155"/>
    </row>
    <row r="730">
      <c r="D730" s="82"/>
      <c r="E730" s="152"/>
      <c r="P730" s="155"/>
    </row>
    <row r="731">
      <c r="D731" s="82"/>
      <c r="E731" s="152"/>
      <c r="P731" s="155"/>
    </row>
    <row r="732">
      <c r="D732" s="82"/>
      <c r="E732" s="152"/>
      <c r="P732" s="155"/>
    </row>
    <row r="733">
      <c r="D733" s="82"/>
      <c r="E733" s="152"/>
      <c r="P733" s="155"/>
    </row>
    <row r="734">
      <c r="D734" s="82"/>
      <c r="E734" s="152"/>
      <c r="P734" s="155"/>
    </row>
    <row r="735">
      <c r="D735" s="82"/>
      <c r="E735" s="152"/>
      <c r="P735" s="155"/>
    </row>
    <row r="736">
      <c r="D736" s="82"/>
      <c r="E736" s="152"/>
      <c r="P736" s="155"/>
    </row>
    <row r="737">
      <c r="D737" s="82"/>
      <c r="E737" s="152"/>
      <c r="P737" s="155"/>
    </row>
    <row r="738">
      <c r="D738" s="82"/>
      <c r="E738" s="152"/>
      <c r="P738" s="155"/>
    </row>
    <row r="739">
      <c r="D739" s="82"/>
      <c r="E739" s="152"/>
      <c r="P739" s="155"/>
    </row>
    <row r="740">
      <c r="D740" s="82"/>
      <c r="E740" s="152"/>
      <c r="P740" s="155"/>
    </row>
    <row r="741">
      <c r="D741" s="82"/>
      <c r="E741" s="152"/>
      <c r="P741" s="155"/>
    </row>
    <row r="742">
      <c r="D742" s="82"/>
      <c r="E742" s="152"/>
      <c r="P742" s="155"/>
    </row>
    <row r="743">
      <c r="D743" s="82"/>
      <c r="E743" s="152"/>
      <c r="P743" s="155"/>
    </row>
    <row r="744">
      <c r="D744" s="82"/>
      <c r="E744" s="152"/>
      <c r="P744" s="155"/>
    </row>
    <row r="745">
      <c r="D745" s="82"/>
      <c r="E745" s="152"/>
      <c r="P745" s="155"/>
    </row>
    <row r="746">
      <c r="D746" s="82"/>
      <c r="E746" s="152"/>
      <c r="P746" s="155"/>
    </row>
    <row r="747">
      <c r="D747" s="82"/>
      <c r="E747" s="152"/>
      <c r="P747" s="155"/>
    </row>
    <row r="748">
      <c r="D748" s="82"/>
      <c r="E748" s="152"/>
      <c r="P748" s="155"/>
    </row>
    <row r="749">
      <c r="D749" s="82"/>
      <c r="E749" s="152"/>
      <c r="P749" s="155"/>
    </row>
    <row r="750">
      <c r="D750" s="82"/>
      <c r="E750" s="152"/>
      <c r="P750" s="155"/>
    </row>
    <row r="751">
      <c r="D751" s="82"/>
      <c r="E751" s="152"/>
      <c r="P751" s="155"/>
    </row>
    <row r="752">
      <c r="D752" s="82"/>
      <c r="E752" s="152"/>
      <c r="P752" s="155"/>
    </row>
    <row r="753">
      <c r="D753" s="82"/>
      <c r="E753" s="152"/>
      <c r="P753" s="155"/>
    </row>
    <row r="754">
      <c r="D754" s="82"/>
      <c r="E754" s="152"/>
      <c r="P754" s="155"/>
    </row>
    <row r="755">
      <c r="D755" s="82"/>
      <c r="E755" s="152"/>
      <c r="P755" s="155"/>
    </row>
    <row r="756">
      <c r="D756" s="82"/>
      <c r="E756" s="152"/>
      <c r="P756" s="155"/>
    </row>
    <row r="757">
      <c r="D757" s="82"/>
      <c r="E757" s="152"/>
      <c r="P757" s="155"/>
    </row>
    <row r="758">
      <c r="D758" s="82"/>
      <c r="E758" s="152"/>
      <c r="P758" s="155"/>
    </row>
    <row r="759">
      <c r="D759" s="82"/>
      <c r="E759" s="152"/>
      <c r="P759" s="155"/>
    </row>
    <row r="760">
      <c r="D760" s="82"/>
      <c r="E760" s="152"/>
      <c r="P760" s="155"/>
    </row>
    <row r="761">
      <c r="D761" s="82"/>
      <c r="E761" s="152"/>
      <c r="P761" s="155"/>
    </row>
    <row r="762">
      <c r="D762" s="82"/>
      <c r="E762" s="152"/>
      <c r="P762" s="155"/>
    </row>
    <row r="763">
      <c r="D763" s="82"/>
      <c r="E763" s="152"/>
      <c r="P763" s="155"/>
    </row>
    <row r="764">
      <c r="D764" s="82"/>
      <c r="E764" s="152"/>
      <c r="P764" s="155"/>
    </row>
    <row r="765">
      <c r="D765" s="82"/>
      <c r="E765" s="152"/>
      <c r="P765" s="155"/>
    </row>
    <row r="766">
      <c r="D766" s="82"/>
      <c r="E766" s="152"/>
      <c r="P766" s="155"/>
    </row>
    <row r="767">
      <c r="D767" s="82"/>
      <c r="E767" s="152"/>
      <c r="P767" s="155"/>
    </row>
    <row r="768">
      <c r="D768" s="82"/>
      <c r="E768" s="152"/>
      <c r="P768" s="155"/>
    </row>
    <row r="769">
      <c r="D769" s="82"/>
      <c r="E769" s="152"/>
      <c r="P769" s="155"/>
    </row>
    <row r="770">
      <c r="D770" s="82"/>
      <c r="E770" s="152"/>
      <c r="P770" s="155"/>
    </row>
    <row r="771">
      <c r="D771" s="82"/>
      <c r="E771" s="152"/>
      <c r="P771" s="155"/>
    </row>
    <row r="772">
      <c r="D772" s="82"/>
      <c r="E772" s="152"/>
      <c r="P772" s="155"/>
    </row>
    <row r="773">
      <c r="D773" s="82"/>
      <c r="E773" s="152"/>
      <c r="P773" s="155"/>
    </row>
    <row r="774">
      <c r="D774" s="82"/>
      <c r="E774" s="152"/>
      <c r="P774" s="155"/>
    </row>
    <row r="775">
      <c r="D775" s="82"/>
      <c r="E775" s="152"/>
      <c r="P775" s="155"/>
    </row>
    <row r="776">
      <c r="D776" s="82"/>
      <c r="E776" s="152"/>
      <c r="P776" s="155"/>
    </row>
    <row r="777">
      <c r="D777" s="82"/>
      <c r="E777" s="152"/>
      <c r="P777" s="155"/>
    </row>
    <row r="778">
      <c r="D778" s="82"/>
      <c r="E778" s="152"/>
      <c r="P778" s="155"/>
    </row>
    <row r="779">
      <c r="D779" s="82"/>
      <c r="E779" s="152"/>
      <c r="P779" s="155"/>
    </row>
    <row r="780">
      <c r="D780" s="82"/>
      <c r="E780" s="152"/>
      <c r="P780" s="155"/>
    </row>
    <row r="781">
      <c r="D781" s="82"/>
      <c r="E781" s="152"/>
      <c r="P781" s="155"/>
    </row>
    <row r="782">
      <c r="D782" s="82"/>
      <c r="E782" s="152"/>
      <c r="P782" s="155"/>
    </row>
    <row r="783">
      <c r="D783" s="82"/>
      <c r="E783" s="152"/>
      <c r="P783" s="155"/>
    </row>
    <row r="784">
      <c r="D784" s="82"/>
      <c r="E784" s="152"/>
      <c r="P784" s="155"/>
    </row>
    <row r="785">
      <c r="D785" s="82"/>
      <c r="E785" s="152"/>
      <c r="P785" s="155"/>
    </row>
    <row r="786">
      <c r="D786" s="82"/>
      <c r="E786" s="152"/>
      <c r="P786" s="155"/>
    </row>
    <row r="787">
      <c r="D787" s="82"/>
      <c r="E787" s="152"/>
      <c r="P787" s="155"/>
    </row>
    <row r="788">
      <c r="D788" s="82"/>
      <c r="E788" s="152"/>
      <c r="P788" s="155"/>
    </row>
    <row r="789">
      <c r="D789" s="82"/>
      <c r="E789" s="152"/>
      <c r="P789" s="155"/>
    </row>
    <row r="790">
      <c r="D790" s="82"/>
      <c r="E790" s="152"/>
      <c r="P790" s="155"/>
    </row>
    <row r="791">
      <c r="D791" s="82"/>
      <c r="E791" s="152"/>
      <c r="P791" s="155"/>
    </row>
    <row r="792">
      <c r="D792" s="82"/>
      <c r="E792" s="152"/>
      <c r="P792" s="155"/>
    </row>
    <row r="793">
      <c r="D793" s="82"/>
      <c r="E793" s="152"/>
      <c r="P793" s="155"/>
    </row>
    <row r="794">
      <c r="D794" s="82"/>
      <c r="E794" s="152"/>
      <c r="P794" s="155"/>
    </row>
    <row r="795">
      <c r="D795" s="82"/>
      <c r="E795" s="152"/>
      <c r="P795" s="155"/>
    </row>
    <row r="796">
      <c r="D796" s="82"/>
      <c r="E796" s="152"/>
      <c r="P796" s="155"/>
    </row>
    <row r="797">
      <c r="D797" s="82"/>
      <c r="E797" s="152"/>
      <c r="P797" s="155"/>
    </row>
    <row r="798">
      <c r="D798" s="82"/>
      <c r="E798" s="152"/>
      <c r="P798" s="155"/>
    </row>
    <row r="799">
      <c r="D799" s="82"/>
      <c r="E799" s="152"/>
      <c r="P799" s="155"/>
    </row>
    <row r="800">
      <c r="D800" s="82"/>
      <c r="E800" s="152"/>
      <c r="P800" s="155"/>
    </row>
    <row r="801">
      <c r="D801" s="82"/>
      <c r="E801" s="152"/>
      <c r="P801" s="155"/>
    </row>
    <row r="802">
      <c r="D802" s="82"/>
      <c r="E802" s="152"/>
      <c r="P802" s="155"/>
    </row>
    <row r="803">
      <c r="D803" s="82"/>
      <c r="E803" s="152"/>
      <c r="P803" s="155"/>
    </row>
    <row r="804">
      <c r="D804" s="82"/>
      <c r="E804" s="152"/>
      <c r="P804" s="155"/>
    </row>
    <row r="805">
      <c r="D805" s="82"/>
      <c r="E805" s="152"/>
      <c r="P805" s="155"/>
    </row>
    <row r="806">
      <c r="D806" s="82"/>
      <c r="E806" s="152"/>
      <c r="P806" s="155"/>
    </row>
    <row r="807">
      <c r="D807" s="82"/>
      <c r="E807" s="152"/>
      <c r="P807" s="155"/>
    </row>
    <row r="808">
      <c r="D808" s="82"/>
      <c r="E808" s="152"/>
      <c r="P808" s="155"/>
    </row>
    <row r="809">
      <c r="D809" s="82"/>
      <c r="E809" s="152"/>
      <c r="P809" s="155"/>
    </row>
    <row r="810">
      <c r="D810" s="82"/>
      <c r="E810" s="152"/>
      <c r="P810" s="155"/>
    </row>
    <row r="811">
      <c r="D811" s="82"/>
      <c r="E811" s="152"/>
      <c r="P811" s="155"/>
    </row>
    <row r="812">
      <c r="D812" s="82"/>
      <c r="E812" s="152"/>
      <c r="P812" s="155"/>
    </row>
    <row r="813">
      <c r="D813" s="82"/>
      <c r="E813" s="152"/>
      <c r="P813" s="155"/>
    </row>
    <row r="814">
      <c r="D814" s="82"/>
      <c r="E814" s="152"/>
      <c r="P814" s="155"/>
    </row>
    <row r="815">
      <c r="D815" s="82"/>
      <c r="E815" s="152"/>
      <c r="P815" s="155"/>
    </row>
    <row r="816">
      <c r="D816" s="82"/>
      <c r="E816" s="152"/>
      <c r="P816" s="155"/>
    </row>
    <row r="817">
      <c r="D817" s="82"/>
      <c r="E817" s="152"/>
      <c r="P817" s="155"/>
    </row>
    <row r="818">
      <c r="D818" s="82"/>
      <c r="E818" s="152"/>
      <c r="P818" s="155"/>
    </row>
    <row r="819">
      <c r="D819" s="82"/>
      <c r="E819" s="152"/>
      <c r="P819" s="155"/>
    </row>
    <row r="820">
      <c r="D820" s="82"/>
      <c r="E820" s="152"/>
      <c r="P820" s="155"/>
    </row>
    <row r="821">
      <c r="D821" s="82"/>
      <c r="E821" s="152"/>
      <c r="P821" s="155"/>
    </row>
    <row r="822">
      <c r="D822" s="82"/>
      <c r="E822" s="152"/>
      <c r="P822" s="155"/>
    </row>
    <row r="823">
      <c r="D823" s="82"/>
      <c r="E823" s="152"/>
      <c r="P823" s="155"/>
    </row>
    <row r="824">
      <c r="D824" s="82"/>
      <c r="E824" s="152"/>
      <c r="P824" s="155"/>
    </row>
    <row r="825">
      <c r="D825" s="82"/>
      <c r="E825" s="152"/>
      <c r="P825" s="155"/>
    </row>
    <row r="826">
      <c r="D826" s="82"/>
      <c r="E826" s="152"/>
      <c r="P826" s="155"/>
    </row>
    <row r="827">
      <c r="D827" s="82"/>
      <c r="E827" s="152"/>
      <c r="P827" s="155"/>
    </row>
    <row r="828">
      <c r="D828" s="82"/>
      <c r="E828" s="152"/>
      <c r="P828" s="155"/>
    </row>
    <row r="829">
      <c r="D829" s="82"/>
      <c r="E829" s="152"/>
      <c r="P829" s="155"/>
    </row>
    <row r="830">
      <c r="D830" s="82"/>
      <c r="E830" s="152"/>
      <c r="P830" s="155"/>
    </row>
    <row r="831">
      <c r="D831" s="82"/>
      <c r="E831" s="152"/>
      <c r="P831" s="155"/>
    </row>
    <row r="832">
      <c r="D832" s="82"/>
      <c r="E832" s="152"/>
      <c r="P832" s="155"/>
    </row>
    <row r="833">
      <c r="D833" s="82"/>
      <c r="E833" s="152"/>
      <c r="P833" s="155"/>
    </row>
    <row r="834">
      <c r="D834" s="82"/>
      <c r="E834" s="152"/>
      <c r="P834" s="155"/>
    </row>
    <row r="835">
      <c r="D835" s="82"/>
      <c r="E835" s="152"/>
      <c r="P835" s="155"/>
    </row>
    <row r="836">
      <c r="D836" s="82"/>
      <c r="E836" s="152"/>
      <c r="P836" s="155"/>
    </row>
    <row r="837">
      <c r="D837" s="82"/>
      <c r="E837" s="152"/>
      <c r="P837" s="155"/>
    </row>
    <row r="838">
      <c r="D838" s="82"/>
      <c r="E838" s="152"/>
      <c r="P838" s="155"/>
    </row>
    <row r="839">
      <c r="D839" s="82"/>
      <c r="E839" s="152"/>
      <c r="P839" s="155"/>
    </row>
    <row r="840">
      <c r="D840" s="82"/>
      <c r="E840" s="152"/>
      <c r="P840" s="155"/>
    </row>
    <row r="841">
      <c r="D841" s="82"/>
      <c r="E841" s="152"/>
      <c r="P841" s="155"/>
    </row>
    <row r="842">
      <c r="D842" s="82"/>
      <c r="E842" s="152"/>
      <c r="P842" s="155"/>
    </row>
    <row r="843">
      <c r="D843" s="82"/>
      <c r="E843" s="152"/>
      <c r="P843" s="155"/>
    </row>
    <row r="844">
      <c r="D844" s="82"/>
      <c r="E844" s="152"/>
      <c r="P844" s="155"/>
    </row>
    <row r="845">
      <c r="D845" s="82"/>
      <c r="E845" s="152"/>
      <c r="P845" s="155"/>
    </row>
    <row r="846">
      <c r="D846" s="82"/>
      <c r="E846" s="152"/>
      <c r="P846" s="155"/>
    </row>
    <row r="847">
      <c r="D847" s="82"/>
      <c r="E847" s="152"/>
      <c r="P847" s="155"/>
    </row>
    <row r="848">
      <c r="D848" s="82"/>
      <c r="E848" s="152"/>
      <c r="P848" s="155"/>
    </row>
    <row r="849">
      <c r="D849" s="82"/>
      <c r="E849" s="152"/>
      <c r="P849" s="155"/>
    </row>
    <row r="850">
      <c r="D850" s="82"/>
      <c r="E850" s="152"/>
      <c r="P850" s="155"/>
    </row>
    <row r="851">
      <c r="D851" s="82"/>
      <c r="E851" s="152"/>
      <c r="P851" s="155"/>
    </row>
    <row r="852">
      <c r="D852" s="82"/>
      <c r="E852" s="152"/>
      <c r="P852" s="155"/>
    </row>
    <row r="853">
      <c r="D853" s="82"/>
      <c r="E853" s="152"/>
      <c r="P853" s="155"/>
    </row>
    <row r="854">
      <c r="D854" s="82"/>
      <c r="E854" s="152"/>
      <c r="P854" s="155"/>
    </row>
    <row r="855">
      <c r="D855" s="82"/>
      <c r="E855" s="152"/>
      <c r="P855" s="155"/>
    </row>
    <row r="856">
      <c r="D856" s="82"/>
      <c r="E856" s="152"/>
      <c r="P856" s="155"/>
    </row>
    <row r="857">
      <c r="D857" s="82"/>
      <c r="E857" s="152"/>
      <c r="P857" s="155"/>
    </row>
    <row r="858">
      <c r="D858" s="82"/>
      <c r="E858" s="152"/>
      <c r="P858" s="155"/>
    </row>
    <row r="859">
      <c r="D859" s="82"/>
      <c r="E859" s="152"/>
      <c r="P859" s="155"/>
    </row>
    <row r="860">
      <c r="D860" s="82"/>
      <c r="E860" s="152"/>
      <c r="P860" s="155"/>
    </row>
    <row r="861">
      <c r="D861" s="82"/>
      <c r="E861" s="152"/>
      <c r="P861" s="155"/>
    </row>
    <row r="862">
      <c r="D862" s="82"/>
      <c r="E862" s="152"/>
      <c r="P862" s="155"/>
    </row>
    <row r="863">
      <c r="D863" s="82"/>
      <c r="E863" s="152"/>
      <c r="P863" s="155"/>
    </row>
    <row r="864">
      <c r="D864" s="82"/>
      <c r="E864" s="152"/>
      <c r="P864" s="155"/>
    </row>
    <row r="865">
      <c r="D865" s="82"/>
      <c r="E865" s="152"/>
      <c r="P865" s="155"/>
    </row>
    <row r="866">
      <c r="D866" s="82"/>
      <c r="E866" s="152"/>
      <c r="P866" s="155"/>
    </row>
    <row r="867">
      <c r="D867" s="82"/>
      <c r="E867" s="152"/>
      <c r="P867" s="155"/>
    </row>
    <row r="868">
      <c r="D868" s="82"/>
      <c r="E868" s="152"/>
      <c r="P868" s="155"/>
    </row>
    <row r="869">
      <c r="D869" s="82"/>
      <c r="E869" s="152"/>
      <c r="P869" s="155"/>
    </row>
    <row r="870">
      <c r="D870" s="82"/>
      <c r="E870" s="152"/>
      <c r="P870" s="155"/>
    </row>
    <row r="871">
      <c r="D871" s="82"/>
      <c r="E871" s="152"/>
      <c r="P871" s="155"/>
    </row>
    <row r="872">
      <c r="D872" s="82"/>
      <c r="E872" s="152"/>
      <c r="P872" s="155"/>
    </row>
    <row r="873">
      <c r="D873" s="82"/>
      <c r="E873" s="152"/>
      <c r="P873" s="155"/>
    </row>
    <row r="874">
      <c r="D874" s="82"/>
      <c r="E874" s="152"/>
      <c r="P874" s="155"/>
    </row>
    <row r="875">
      <c r="D875" s="82"/>
      <c r="E875" s="152"/>
      <c r="P875" s="155"/>
    </row>
    <row r="876">
      <c r="D876" s="82"/>
      <c r="E876" s="152"/>
      <c r="P876" s="155"/>
    </row>
    <row r="877">
      <c r="D877" s="82"/>
      <c r="E877" s="152"/>
      <c r="P877" s="155"/>
    </row>
    <row r="878">
      <c r="D878" s="82"/>
      <c r="E878" s="152"/>
      <c r="P878" s="155"/>
    </row>
    <row r="879">
      <c r="D879" s="82"/>
      <c r="E879" s="152"/>
      <c r="P879" s="155"/>
    </row>
    <row r="880">
      <c r="D880" s="82"/>
      <c r="E880" s="152"/>
      <c r="P880" s="155"/>
    </row>
    <row r="881">
      <c r="D881" s="82"/>
      <c r="E881" s="152"/>
      <c r="P881" s="155"/>
    </row>
    <row r="882">
      <c r="D882" s="82"/>
      <c r="E882" s="152"/>
      <c r="P882" s="155"/>
    </row>
    <row r="883">
      <c r="D883" s="82"/>
      <c r="E883" s="152"/>
      <c r="P883" s="155"/>
    </row>
    <row r="884">
      <c r="D884" s="82"/>
      <c r="E884" s="152"/>
      <c r="P884" s="155"/>
    </row>
    <row r="885">
      <c r="D885" s="82"/>
      <c r="E885" s="152"/>
      <c r="P885" s="155"/>
    </row>
    <row r="886">
      <c r="D886" s="82"/>
      <c r="E886" s="152"/>
      <c r="P886" s="155"/>
    </row>
    <row r="887">
      <c r="D887" s="82"/>
      <c r="E887" s="152"/>
      <c r="P887" s="155"/>
    </row>
    <row r="888">
      <c r="D888" s="82"/>
      <c r="E888" s="152"/>
      <c r="P888" s="155"/>
    </row>
    <row r="889">
      <c r="D889" s="82"/>
      <c r="E889" s="152"/>
      <c r="P889" s="155"/>
    </row>
    <row r="890">
      <c r="D890" s="82"/>
      <c r="E890" s="152"/>
      <c r="P890" s="155"/>
    </row>
    <row r="891">
      <c r="D891" s="82"/>
      <c r="E891" s="152"/>
      <c r="P891" s="155"/>
    </row>
    <row r="892">
      <c r="D892" s="82"/>
      <c r="E892" s="152"/>
      <c r="P892" s="155"/>
    </row>
    <row r="893">
      <c r="D893" s="82"/>
      <c r="E893" s="152"/>
      <c r="P893" s="155"/>
    </row>
    <row r="894">
      <c r="D894" s="82"/>
      <c r="E894" s="152"/>
      <c r="P894" s="155"/>
    </row>
    <row r="895">
      <c r="D895" s="82"/>
      <c r="E895" s="152"/>
      <c r="P895" s="155"/>
    </row>
    <row r="896">
      <c r="D896" s="82"/>
      <c r="E896" s="152"/>
      <c r="P896" s="155"/>
    </row>
    <row r="897">
      <c r="D897" s="82"/>
      <c r="E897" s="152"/>
      <c r="P897" s="155"/>
    </row>
    <row r="898">
      <c r="D898" s="82"/>
      <c r="E898" s="152"/>
      <c r="P898" s="155"/>
    </row>
    <row r="899">
      <c r="D899" s="82"/>
      <c r="E899" s="152"/>
      <c r="P899" s="155"/>
    </row>
    <row r="900">
      <c r="D900" s="82"/>
      <c r="E900" s="152"/>
      <c r="P900" s="155"/>
    </row>
    <row r="901">
      <c r="D901" s="82"/>
      <c r="E901" s="152"/>
      <c r="P901" s="155"/>
    </row>
    <row r="902">
      <c r="D902" s="82"/>
      <c r="E902" s="152"/>
      <c r="P902" s="155"/>
    </row>
    <row r="903">
      <c r="D903" s="82"/>
      <c r="E903" s="152"/>
      <c r="P903" s="155"/>
    </row>
    <row r="904">
      <c r="D904" s="82"/>
      <c r="E904" s="152"/>
      <c r="P904" s="155"/>
    </row>
    <row r="905">
      <c r="D905" s="82"/>
      <c r="E905" s="152"/>
      <c r="P905" s="155"/>
    </row>
    <row r="906">
      <c r="D906" s="82"/>
      <c r="E906" s="152"/>
      <c r="P906" s="155"/>
    </row>
    <row r="907">
      <c r="D907" s="82"/>
      <c r="E907" s="152"/>
      <c r="P907" s="155"/>
    </row>
    <row r="908">
      <c r="D908" s="82"/>
      <c r="E908" s="152"/>
      <c r="P908" s="155"/>
    </row>
    <row r="909">
      <c r="D909" s="82"/>
      <c r="E909" s="152"/>
      <c r="P909" s="155"/>
    </row>
    <row r="910">
      <c r="D910" s="82"/>
      <c r="E910" s="152"/>
      <c r="P910" s="155"/>
    </row>
    <row r="911">
      <c r="D911" s="82"/>
      <c r="E911" s="152"/>
      <c r="P911" s="155"/>
    </row>
    <row r="912">
      <c r="D912" s="82"/>
      <c r="E912" s="152"/>
      <c r="P912" s="155"/>
    </row>
    <row r="913">
      <c r="D913" s="82"/>
      <c r="E913" s="152"/>
      <c r="P913" s="155"/>
    </row>
    <row r="914">
      <c r="D914" s="82"/>
      <c r="E914" s="152"/>
      <c r="P914" s="155"/>
    </row>
    <row r="915">
      <c r="D915" s="82"/>
      <c r="E915" s="152"/>
      <c r="P915" s="155"/>
    </row>
    <row r="916">
      <c r="D916" s="82"/>
      <c r="E916" s="152"/>
      <c r="P916" s="155"/>
    </row>
    <row r="917">
      <c r="D917" s="82"/>
      <c r="E917" s="152"/>
      <c r="P917" s="155"/>
    </row>
    <row r="918">
      <c r="D918" s="82"/>
      <c r="E918" s="152"/>
      <c r="P918" s="155"/>
    </row>
    <row r="919">
      <c r="D919" s="82"/>
      <c r="E919" s="152"/>
      <c r="P919" s="155"/>
    </row>
    <row r="920">
      <c r="D920" s="82"/>
      <c r="E920" s="152"/>
      <c r="P920" s="155"/>
    </row>
    <row r="921">
      <c r="D921" s="82"/>
      <c r="E921" s="152"/>
      <c r="P921" s="155"/>
    </row>
    <row r="922">
      <c r="D922" s="82"/>
      <c r="E922" s="152"/>
      <c r="P922" s="155"/>
    </row>
    <row r="923">
      <c r="D923" s="82"/>
      <c r="E923" s="152"/>
      <c r="P923" s="155"/>
    </row>
    <row r="924">
      <c r="D924" s="82"/>
      <c r="E924" s="152"/>
      <c r="P924" s="155"/>
    </row>
    <row r="925">
      <c r="D925" s="82"/>
      <c r="E925" s="152"/>
      <c r="P925" s="155"/>
    </row>
    <row r="926">
      <c r="D926" s="82"/>
      <c r="E926" s="152"/>
      <c r="P926" s="155"/>
    </row>
    <row r="927">
      <c r="D927" s="82"/>
      <c r="E927" s="152"/>
      <c r="P927" s="155"/>
    </row>
    <row r="928">
      <c r="D928" s="82"/>
      <c r="E928" s="152"/>
      <c r="P928" s="155"/>
    </row>
    <row r="929">
      <c r="D929" s="82"/>
      <c r="E929" s="152"/>
      <c r="P929" s="155"/>
    </row>
    <row r="930">
      <c r="D930" s="82"/>
      <c r="E930" s="152"/>
      <c r="P930" s="155"/>
    </row>
    <row r="931">
      <c r="D931" s="82"/>
      <c r="E931" s="152"/>
      <c r="P931" s="155"/>
    </row>
    <row r="932">
      <c r="D932" s="82"/>
      <c r="E932" s="152"/>
      <c r="P932" s="155"/>
    </row>
    <row r="933">
      <c r="D933" s="82"/>
      <c r="E933" s="152"/>
      <c r="P933" s="155"/>
    </row>
    <row r="934">
      <c r="D934" s="82"/>
      <c r="E934" s="152"/>
      <c r="P934" s="155"/>
    </row>
    <row r="935">
      <c r="D935" s="82"/>
      <c r="E935" s="152"/>
      <c r="P935" s="155"/>
    </row>
    <row r="936">
      <c r="D936" s="82"/>
      <c r="E936" s="152"/>
      <c r="P936" s="155"/>
    </row>
    <row r="937">
      <c r="D937" s="82"/>
      <c r="E937" s="152"/>
      <c r="P937" s="155"/>
    </row>
    <row r="938">
      <c r="D938" s="82"/>
      <c r="E938" s="152"/>
      <c r="P938" s="155"/>
    </row>
    <row r="939">
      <c r="D939" s="82"/>
      <c r="E939" s="152"/>
      <c r="P939" s="155"/>
    </row>
    <row r="940">
      <c r="D940" s="82"/>
      <c r="E940" s="152"/>
      <c r="P940" s="155"/>
    </row>
    <row r="941">
      <c r="D941" s="82"/>
      <c r="E941" s="152"/>
      <c r="P941" s="155"/>
    </row>
    <row r="942">
      <c r="D942" s="82"/>
      <c r="E942" s="152"/>
      <c r="P942" s="155"/>
    </row>
    <row r="943">
      <c r="D943" s="82"/>
      <c r="E943" s="152"/>
      <c r="P943" s="155"/>
    </row>
    <row r="944">
      <c r="D944" s="82"/>
      <c r="E944" s="152"/>
      <c r="P944" s="155"/>
    </row>
    <row r="945">
      <c r="D945" s="82"/>
      <c r="E945" s="152"/>
      <c r="P945" s="155"/>
    </row>
    <row r="946">
      <c r="D946" s="82"/>
      <c r="E946" s="152"/>
      <c r="P946" s="155"/>
    </row>
    <row r="947">
      <c r="D947" s="82"/>
      <c r="E947" s="152"/>
      <c r="P947" s="155"/>
    </row>
    <row r="948">
      <c r="D948" s="82"/>
      <c r="E948" s="152"/>
      <c r="P948" s="155"/>
    </row>
    <row r="949">
      <c r="D949" s="82"/>
      <c r="E949" s="152"/>
      <c r="P949" s="155"/>
    </row>
    <row r="950">
      <c r="D950" s="82"/>
      <c r="E950" s="152"/>
      <c r="P950" s="155"/>
    </row>
    <row r="951">
      <c r="D951" s="82"/>
      <c r="E951" s="152"/>
      <c r="P951" s="155"/>
    </row>
    <row r="952">
      <c r="D952" s="82"/>
      <c r="E952" s="152"/>
      <c r="P952" s="155"/>
    </row>
    <row r="953">
      <c r="D953" s="82"/>
      <c r="E953" s="152"/>
      <c r="P953" s="155"/>
    </row>
    <row r="954">
      <c r="D954" s="82"/>
      <c r="E954" s="152"/>
      <c r="P954" s="155"/>
    </row>
    <row r="955">
      <c r="D955" s="82"/>
      <c r="E955" s="152"/>
      <c r="P955" s="155"/>
    </row>
    <row r="956">
      <c r="D956" s="82"/>
      <c r="E956" s="152"/>
      <c r="P956" s="155"/>
    </row>
    <row r="957">
      <c r="D957" s="82"/>
      <c r="E957" s="152"/>
      <c r="P957" s="155"/>
    </row>
    <row r="958">
      <c r="D958" s="82"/>
      <c r="E958" s="152"/>
      <c r="P958" s="155"/>
    </row>
    <row r="959">
      <c r="D959" s="82"/>
      <c r="E959" s="152"/>
      <c r="P959" s="155"/>
    </row>
    <row r="960">
      <c r="D960" s="82"/>
      <c r="E960" s="152"/>
      <c r="P960" s="155"/>
    </row>
    <row r="961">
      <c r="D961" s="82"/>
      <c r="E961" s="152"/>
      <c r="P961" s="155"/>
    </row>
    <row r="962">
      <c r="D962" s="82"/>
      <c r="E962" s="152"/>
      <c r="P962" s="155"/>
    </row>
    <row r="963">
      <c r="D963" s="82"/>
      <c r="E963" s="152"/>
      <c r="P963" s="155"/>
    </row>
    <row r="964">
      <c r="D964" s="82"/>
      <c r="E964" s="152"/>
      <c r="P964" s="155"/>
    </row>
    <row r="965">
      <c r="D965" s="82"/>
      <c r="E965" s="152"/>
      <c r="P965" s="155"/>
    </row>
    <row r="966">
      <c r="D966" s="82"/>
      <c r="E966" s="152"/>
      <c r="P966" s="155"/>
    </row>
    <row r="967">
      <c r="D967" s="82"/>
      <c r="E967" s="152"/>
      <c r="P967" s="155"/>
    </row>
    <row r="968">
      <c r="D968" s="82"/>
      <c r="E968" s="152"/>
      <c r="P968" s="155"/>
    </row>
    <row r="969">
      <c r="D969" s="82"/>
      <c r="E969" s="152"/>
      <c r="P969" s="155"/>
    </row>
    <row r="970">
      <c r="D970" s="82"/>
      <c r="E970" s="152"/>
      <c r="P970" s="155"/>
    </row>
    <row r="971">
      <c r="D971" s="82"/>
      <c r="E971" s="152"/>
      <c r="P971" s="155"/>
    </row>
    <row r="972">
      <c r="D972" s="82"/>
      <c r="E972" s="152"/>
      <c r="P972" s="155"/>
    </row>
    <row r="973">
      <c r="D973" s="82"/>
      <c r="E973" s="152"/>
      <c r="P973" s="155"/>
    </row>
    <row r="974">
      <c r="D974" s="82"/>
      <c r="E974" s="152"/>
      <c r="P974" s="155"/>
    </row>
    <row r="975">
      <c r="D975" s="82"/>
      <c r="E975" s="152"/>
      <c r="P975" s="155"/>
    </row>
    <row r="976">
      <c r="D976" s="82"/>
      <c r="E976" s="152"/>
      <c r="P976" s="155"/>
    </row>
    <row r="977">
      <c r="D977" s="82"/>
      <c r="E977" s="152"/>
      <c r="P977" s="155"/>
    </row>
    <row r="978">
      <c r="D978" s="82"/>
      <c r="E978" s="152"/>
      <c r="P978" s="155"/>
    </row>
    <row r="979">
      <c r="D979" s="82"/>
      <c r="E979" s="152"/>
      <c r="P979" s="155"/>
    </row>
    <row r="980">
      <c r="D980" s="82"/>
      <c r="E980" s="152"/>
      <c r="P980" s="155"/>
    </row>
    <row r="981">
      <c r="D981" s="82"/>
      <c r="E981" s="152"/>
      <c r="P981" s="155"/>
    </row>
    <row r="982">
      <c r="D982" s="82"/>
      <c r="E982" s="152"/>
      <c r="P982" s="155"/>
    </row>
    <row r="983">
      <c r="D983" s="82"/>
      <c r="E983" s="152"/>
      <c r="P983" s="155"/>
    </row>
    <row r="984">
      <c r="D984" s="82"/>
      <c r="E984" s="152"/>
      <c r="P984" s="155"/>
    </row>
    <row r="985">
      <c r="D985" s="82"/>
      <c r="E985" s="152"/>
      <c r="P985" s="155"/>
    </row>
    <row r="986">
      <c r="D986" s="82"/>
      <c r="E986" s="152"/>
      <c r="P986" s="155"/>
    </row>
    <row r="987">
      <c r="D987" s="82"/>
      <c r="E987" s="152"/>
      <c r="P987" s="155"/>
    </row>
    <row r="988">
      <c r="D988" s="82"/>
      <c r="E988" s="152"/>
      <c r="P988" s="155"/>
    </row>
    <row r="989">
      <c r="D989" s="82"/>
      <c r="E989" s="152"/>
      <c r="P989" s="155"/>
    </row>
    <row r="990">
      <c r="D990" s="82"/>
      <c r="E990" s="152"/>
      <c r="P990" s="155"/>
    </row>
    <row r="991">
      <c r="D991" s="82"/>
      <c r="E991" s="152"/>
      <c r="P991" s="155"/>
    </row>
    <row r="992">
      <c r="D992" s="82"/>
      <c r="E992" s="152"/>
      <c r="P992" s="155"/>
    </row>
    <row r="993">
      <c r="D993" s="82"/>
      <c r="E993" s="152"/>
      <c r="P993" s="155"/>
    </row>
    <row r="994">
      <c r="D994" s="82"/>
      <c r="E994" s="152"/>
      <c r="P994" s="155"/>
    </row>
    <row r="995">
      <c r="D995" s="82"/>
      <c r="E995" s="152"/>
      <c r="P995" s="155"/>
    </row>
    <row r="996">
      <c r="D996" s="82"/>
      <c r="E996" s="152"/>
      <c r="P996" s="155"/>
    </row>
    <row r="997">
      <c r="D997" s="82"/>
      <c r="E997" s="152"/>
      <c r="P997" s="155"/>
    </row>
    <row r="998">
      <c r="D998" s="82"/>
      <c r="E998" s="152"/>
      <c r="P998" s="155"/>
    </row>
    <row r="999">
      <c r="D999" s="82"/>
      <c r="E999" s="152"/>
      <c r="P999" s="155"/>
    </row>
    <row r="1000">
      <c r="D1000" s="82"/>
      <c r="E1000" s="152"/>
      <c r="P1000" s="155"/>
    </row>
  </sheetData>
  <mergeCells count="1">
    <mergeCell ref="M1:N2"/>
  </mergeCells>
  <dataValidations>
    <dataValidation type="custom" allowBlank="1" showDropDown="1" sqref="B1:B2">
      <formula1>OR(NOT(ISERROR(DATEVALUE(B1))), AND(ISNUMBER(B1), LEFT(CELL("format", B1))="D"))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170</v>
      </c>
    </row>
    <row r="3">
      <c r="A3" s="40" t="s">
        <v>171</v>
      </c>
    </row>
    <row r="4">
      <c r="A4" s="40" t="s">
        <v>172</v>
      </c>
    </row>
    <row r="5">
      <c r="A5" s="40" t="s">
        <v>173</v>
      </c>
    </row>
    <row r="6">
      <c r="A6" s="40" t="s">
        <v>174</v>
      </c>
    </row>
    <row r="7">
      <c r="A7" s="40" t="s">
        <v>175</v>
      </c>
    </row>
    <row r="8">
      <c r="A8" s="40" t="s">
        <v>176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6.13"/>
    <col customWidth="1" min="5" max="5" width="10.88"/>
    <col customWidth="1" min="9" max="9" width="47.75"/>
  </cols>
  <sheetData>
    <row r="1">
      <c r="A1" s="166" t="s">
        <v>179</v>
      </c>
    </row>
    <row r="2">
      <c r="A2" s="167"/>
      <c r="B2" s="159"/>
      <c r="C2" s="160"/>
      <c r="F2" s="168"/>
    </row>
    <row r="3">
      <c r="A3" s="167" t="s">
        <v>180</v>
      </c>
      <c r="B3" s="159"/>
      <c r="C3" s="160"/>
      <c r="F3" s="168" t="s">
        <v>181</v>
      </c>
    </row>
    <row r="4">
      <c r="B4" s="169">
        <f t="shared" ref="B4:C4" si="1">SUM(B6:B8)</f>
        <v>1</v>
      </c>
      <c r="C4" s="155">
        <f t="shared" si="1"/>
        <v>27500</v>
      </c>
      <c r="F4" s="40"/>
      <c r="G4" s="170">
        <f t="shared" ref="G4:H4" si="2">SUM(G6:G17)</f>
        <v>1</v>
      </c>
      <c r="H4" s="160">
        <f t="shared" si="2"/>
        <v>27500</v>
      </c>
    </row>
    <row r="5">
      <c r="A5" s="171" t="s">
        <v>182</v>
      </c>
      <c r="B5" s="171" t="s">
        <v>183</v>
      </c>
      <c r="C5" s="171" t="s">
        <v>86</v>
      </c>
      <c r="E5" s="40" t="s">
        <v>184</v>
      </c>
      <c r="F5" s="171" t="s">
        <v>83</v>
      </c>
      <c r="G5" s="172" t="s">
        <v>183</v>
      </c>
      <c r="H5" s="153" t="s">
        <v>86</v>
      </c>
    </row>
    <row r="6">
      <c r="A6" s="173" t="s">
        <v>105</v>
      </c>
      <c r="B6" s="174">
        <f t="shared" ref="B6:B8" si="3">C6/$C$4</f>
        <v>0.6909090909</v>
      </c>
      <c r="C6" s="175">
        <v>19000.0</v>
      </c>
      <c r="F6" s="173" t="s">
        <v>185</v>
      </c>
      <c r="G6" s="176">
        <f>1-SUM(G7:G17)</f>
        <v>0.209</v>
      </c>
      <c r="H6" s="177">
        <f>$C$4*G6</f>
        <v>5747.5</v>
      </c>
      <c r="I6" s="178"/>
    </row>
    <row r="7">
      <c r="A7" s="173" t="s">
        <v>45</v>
      </c>
      <c r="B7" s="174">
        <f t="shared" si="3"/>
        <v>0.1090909091</v>
      </c>
      <c r="C7" s="175">
        <v>3000.0</v>
      </c>
      <c r="F7" s="173" t="s">
        <v>92</v>
      </c>
      <c r="G7" s="176">
        <f t="shared" ref="G7:G17" si="4">H7/$C$4</f>
        <v>0.178</v>
      </c>
      <c r="H7" s="177">
        <v>4895.0</v>
      </c>
      <c r="I7" s="173" t="s">
        <v>186</v>
      </c>
    </row>
    <row r="8">
      <c r="A8" s="173" t="s">
        <v>118</v>
      </c>
      <c r="B8" s="174">
        <f t="shared" si="3"/>
        <v>0.2</v>
      </c>
      <c r="C8" s="175">
        <v>5500.0</v>
      </c>
      <c r="F8" s="173" t="s">
        <v>120</v>
      </c>
      <c r="G8" s="176">
        <f t="shared" si="4"/>
        <v>0.045</v>
      </c>
      <c r="H8" s="177">
        <v>1237.5</v>
      </c>
      <c r="I8" s="173" t="s">
        <v>187</v>
      </c>
    </row>
    <row r="9">
      <c r="F9" s="173" t="s">
        <v>130</v>
      </c>
      <c r="G9" s="176">
        <f t="shared" si="4"/>
        <v>0.073</v>
      </c>
      <c r="H9" s="177">
        <v>2007.4999999999998</v>
      </c>
      <c r="I9" s="178"/>
    </row>
    <row r="10" ht="36.0" customHeight="1">
      <c r="F10" s="173" t="s">
        <v>188</v>
      </c>
      <c r="G10" s="176">
        <f t="shared" si="4"/>
        <v>0.003</v>
      </c>
      <c r="H10" s="177">
        <v>82.5</v>
      </c>
      <c r="I10" s="173" t="s">
        <v>189</v>
      </c>
    </row>
    <row r="11">
      <c r="F11" s="173" t="s">
        <v>141</v>
      </c>
      <c r="G11" s="176">
        <f t="shared" si="4"/>
        <v>0.025</v>
      </c>
      <c r="H11" s="177">
        <v>687.5</v>
      </c>
      <c r="I11" s="173" t="s">
        <v>190</v>
      </c>
    </row>
    <row r="12">
      <c r="F12" s="173" t="s">
        <v>107</v>
      </c>
      <c r="G12" s="176">
        <f t="shared" si="4"/>
        <v>0</v>
      </c>
      <c r="H12" s="177">
        <v>0.0</v>
      </c>
      <c r="I12" s="178"/>
    </row>
    <row r="13">
      <c r="F13" s="173" t="s">
        <v>124</v>
      </c>
      <c r="G13" s="176">
        <f t="shared" si="4"/>
        <v>0.01</v>
      </c>
      <c r="H13" s="177">
        <v>275.0</v>
      </c>
      <c r="I13" s="173" t="s">
        <v>191</v>
      </c>
    </row>
    <row r="14">
      <c r="F14" s="173" t="s">
        <v>99</v>
      </c>
      <c r="G14" s="176">
        <f t="shared" si="4"/>
        <v>0.065</v>
      </c>
      <c r="H14" s="177">
        <v>1787.5</v>
      </c>
      <c r="I14" s="173" t="s">
        <v>192</v>
      </c>
      <c r="J14" s="161">
        <f>1200+1600+350</f>
        <v>3150</v>
      </c>
    </row>
    <row r="15">
      <c r="F15" s="173" t="s">
        <v>111</v>
      </c>
      <c r="G15" s="176">
        <f t="shared" si="4"/>
        <v>0.12</v>
      </c>
      <c r="H15" s="177">
        <v>3300.0</v>
      </c>
      <c r="I15" s="173" t="s">
        <v>193</v>
      </c>
    </row>
    <row r="16">
      <c r="F16" s="173" t="s">
        <v>109</v>
      </c>
      <c r="G16" s="176">
        <f t="shared" si="4"/>
        <v>0.145</v>
      </c>
      <c r="H16" s="177">
        <v>3987.4999999999995</v>
      </c>
      <c r="I16" s="173" t="s">
        <v>194</v>
      </c>
    </row>
    <row r="17">
      <c r="F17" s="173" t="s">
        <v>135</v>
      </c>
      <c r="G17" s="176">
        <f t="shared" si="4"/>
        <v>0.127</v>
      </c>
      <c r="H17" s="177">
        <v>3492.5</v>
      </c>
      <c r="I17" s="173" t="s">
        <v>195</v>
      </c>
    </row>
    <row r="18">
      <c r="F18" s="40" t="s">
        <v>104</v>
      </c>
    </row>
    <row r="20">
      <c r="B20" s="82"/>
      <c r="C20" s="82"/>
    </row>
    <row r="21">
      <c r="B21" s="82"/>
      <c r="C21" s="82"/>
    </row>
    <row r="22">
      <c r="B22" s="82"/>
      <c r="C22" s="82"/>
    </row>
    <row r="23">
      <c r="B23" s="82"/>
      <c r="C23" s="82"/>
    </row>
    <row r="24">
      <c r="B24" s="82"/>
      <c r="C24" s="82"/>
    </row>
    <row r="25">
      <c r="B25" s="82"/>
      <c r="C25" s="82"/>
    </row>
    <row r="26">
      <c r="B26" s="82"/>
      <c r="C26" s="82"/>
    </row>
    <row r="27">
      <c r="B27" s="82"/>
      <c r="C27" s="82"/>
    </row>
    <row r="28">
      <c r="B28" s="82"/>
      <c r="C28" s="82"/>
    </row>
    <row r="29">
      <c r="B29" s="82"/>
      <c r="C29" s="82"/>
    </row>
    <row r="30">
      <c r="B30" s="82"/>
      <c r="C30" s="82"/>
    </row>
    <row r="31">
      <c r="B31" s="82"/>
      <c r="C31" s="82"/>
    </row>
    <row r="32">
      <c r="B32" s="82"/>
      <c r="C32" s="82"/>
    </row>
    <row r="33">
      <c r="B33" s="82"/>
      <c r="C33" s="82"/>
    </row>
    <row r="34">
      <c r="B34" s="82"/>
      <c r="C34" s="82"/>
    </row>
    <row r="35">
      <c r="B35" s="82"/>
      <c r="C35" s="82"/>
    </row>
    <row r="36">
      <c r="B36" s="82"/>
      <c r="C36" s="82"/>
    </row>
    <row r="37">
      <c r="B37" s="82"/>
      <c r="C37" s="82"/>
    </row>
    <row r="38">
      <c r="B38" s="82"/>
      <c r="C38" s="82"/>
    </row>
    <row r="39">
      <c r="B39" s="82"/>
      <c r="C39" s="82"/>
    </row>
    <row r="40">
      <c r="B40" s="82"/>
      <c r="C40" s="82"/>
    </row>
    <row r="41">
      <c r="B41" s="82"/>
      <c r="C41" s="82"/>
    </row>
    <row r="42">
      <c r="B42" s="82"/>
      <c r="C42" s="82"/>
    </row>
    <row r="43">
      <c r="B43" s="82"/>
      <c r="C43" s="82"/>
    </row>
    <row r="44">
      <c r="B44" s="82"/>
      <c r="C44" s="82"/>
    </row>
    <row r="45">
      <c r="B45" s="82"/>
      <c r="C45" s="82"/>
    </row>
    <row r="46">
      <c r="B46" s="82"/>
      <c r="C46" s="82"/>
    </row>
    <row r="47">
      <c r="B47" s="82"/>
      <c r="C47" s="82"/>
    </row>
    <row r="48">
      <c r="B48" s="82"/>
      <c r="C48" s="82"/>
    </row>
    <row r="49">
      <c r="B49" s="82"/>
      <c r="C49" s="82"/>
    </row>
    <row r="50">
      <c r="B50" s="82"/>
      <c r="C50" s="82"/>
    </row>
    <row r="51">
      <c r="B51" s="82"/>
      <c r="C51" s="82"/>
    </row>
    <row r="52">
      <c r="B52" s="82"/>
      <c r="C52" s="82"/>
    </row>
    <row r="53">
      <c r="B53" s="82"/>
      <c r="C53" s="82"/>
    </row>
    <row r="54">
      <c r="B54" s="82"/>
      <c r="C54" s="82"/>
    </row>
    <row r="55">
      <c r="B55" s="82"/>
      <c r="C55" s="82"/>
    </row>
    <row r="56">
      <c r="B56" s="82"/>
      <c r="C56" s="82"/>
    </row>
    <row r="57">
      <c r="B57" s="82"/>
      <c r="C57" s="82"/>
    </row>
    <row r="58">
      <c r="B58" s="82"/>
      <c r="C58" s="82"/>
    </row>
    <row r="59">
      <c r="B59" s="82"/>
      <c r="C59" s="82"/>
    </row>
    <row r="60">
      <c r="B60" s="82"/>
      <c r="C60" s="82"/>
    </row>
    <row r="61">
      <c r="B61" s="82"/>
      <c r="C61" s="82"/>
    </row>
    <row r="62">
      <c r="B62" s="82"/>
      <c r="C62" s="82"/>
    </row>
    <row r="63">
      <c r="B63" s="82"/>
      <c r="C63" s="82"/>
    </row>
    <row r="64">
      <c r="B64" s="82"/>
      <c r="C64" s="82"/>
    </row>
    <row r="65">
      <c r="B65" s="82"/>
      <c r="C65" s="82"/>
    </row>
    <row r="66">
      <c r="B66" s="82"/>
      <c r="C66" s="82"/>
    </row>
    <row r="67">
      <c r="B67" s="82"/>
      <c r="C67" s="82"/>
    </row>
    <row r="68">
      <c r="B68" s="82"/>
      <c r="C68" s="82"/>
    </row>
    <row r="69">
      <c r="B69" s="82"/>
      <c r="C69" s="82"/>
    </row>
    <row r="70">
      <c r="B70" s="82"/>
      <c r="C70" s="82"/>
    </row>
    <row r="71">
      <c r="B71" s="82"/>
      <c r="C71" s="82"/>
    </row>
    <row r="72">
      <c r="B72" s="82"/>
      <c r="C72" s="82"/>
    </row>
    <row r="73">
      <c r="B73" s="82"/>
      <c r="C73" s="82"/>
    </row>
    <row r="74">
      <c r="B74" s="82"/>
      <c r="C74" s="82"/>
    </row>
    <row r="75">
      <c r="B75" s="82"/>
      <c r="C75" s="82"/>
    </row>
    <row r="76">
      <c r="B76" s="82"/>
      <c r="C76" s="82"/>
    </row>
    <row r="77">
      <c r="B77" s="82"/>
      <c r="C77" s="82"/>
    </row>
    <row r="78">
      <c r="B78" s="82"/>
      <c r="C78" s="82"/>
    </row>
    <row r="79">
      <c r="B79" s="82"/>
      <c r="C79" s="82"/>
    </row>
    <row r="80">
      <c r="B80" s="82"/>
      <c r="C80" s="82"/>
    </row>
    <row r="81">
      <c r="B81" s="82"/>
      <c r="C81" s="82"/>
    </row>
    <row r="82">
      <c r="B82" s="82"/>
      <c r="C82" s="82"/>
    </row>
    <row r="83">
      <c r="B83" s="82"/>
      <c r="C83" s="82"/>
    </row>
    <row r="84">
      <c r="B84" s="82"/>
      <c r="C84" s="82"/>
    </row>
    <row r="85">
      <c r="B85" s="82"/>
      <c r="C85" s="82"/>
    </row>
    <row r="86">
      <c r="B86" s="82"/>
      <c r="C86" s="82"/>
    </row>
    <row r="87">
      <c r="B87" s="82"/>
      <c r="C87" s="82"/>
    </row>
    <row r="88">
      <c r="B88" s="82"/>
      <c r="C88" s="82"/>
    </row>
    <row r="89">
      <c r="B89" s="82"/>
      <c r="C89" s="82"/>
    </row>
    <row r="90">
      <c r="B90" s="82"/>
      <c r="C90" s="82"/>
    </row>
    <row r="91">
      <c r="B91" s="82"/>
      <c r="C91" s="82"/>
    </row>
    <row r="92">
      <c r="B92" s="82"/>
      <c r="C92" s="82"/>
    </row>
    <row r="93">
      <c r="B93" s="82"/>
      <c r="C93" s="82"/>
    </row>
    <row r="94">
      <c r="B94" s="82"/>
      <c r="C94" s="82"/>
    </row>
    <row r="95">
      <c r="B95" s="82"/>
      <c r="C95" s="82"/>
    </row>
    <row r="96">
      <c r="B96" s="82"/>
      <c r="C96" s="82"/>
    </row>
    <row r="97">
      <c r="B97" s="82"/>
      <c r="C97" s="82"/>
    </row>
    <row r="98">
      <c r="B98" s="82"/>
      <c r="C98" s="82"/>
    </row>
    <row r="99">
      <c r="B99" s="82"/>
      <c r="C99" s="82"/>
    </row>
    <row r="100">
      <c r="B100" s="82"/>
      <c r="C100" s="82"/>
    </row>
    <row r="101">
      <c r="B101" s="82"/>
      <c r="C101" s="82"/>
    </row>
    <row r="102">
      <c r="B102" s="82"/>
      <c r="C102" s="82"/>
    </row>
    <row r="103">
      <c r="B103" s="82"/>
      <c r="C103" s="82"/>
    </row>
    <row r="104">
      <c r="B104" s="82"/>
      <c r="C104" s="82"/>
    </row>
    <row r="105">
      <c r="B105" s="82"/>
      <c r="C105" s="82"/>
    </row>
    <row r="106">
      <c r="B106" s="82"/>
      <c r="C106" s="82"/>
    </row>
    <row r="107">
      <c r="B107" s="82"/>
      <c r="C107" s="82"/>
    </row>
    <row r="108">
      <c r="B108" s="82"/>
      <c r="C108" s="82"/>
    </row>
    <row r="109">
      <c r="B109" s="82"/>
      <c r="C109" s="82"/>
    </row>
    <row r="110">
      <c r="B110" s="82"/>
      <c r="C110" s="82"/>
    </row>
    <row r="111">
      <c r="B111" s="82"/>
      <c r="C111" s="82"/>
    </row>
    <row r="112">
      <c r="B112" s="82"/>
      <c r="C112" s="82"/>
    </row>
    <row r="113">
      <c r="B113" s="82"/>
      <c r="C113" s="82"/>
    </row>
    <row r="114">
      <c r="B114" s="82"/>
      <c r="C114" s="82"/>
    </row>
    <row r="115">
      <c r="B115" s="82"/>
      <c r="C115" s="82"/>
    </row>
    <row r="116">
      <c r="B116" s="82"/>
      <c r="C116" s="82"/>
    </row>
    <row r="117">
      <c r="B117" s="82"/>
      <c r="C117" s="82"/>
    </row>
    <row r="118">
      <c r="B118" s="82"/>
      <c r="C118" s="82"/>
    </row>
    <row r="119">
      <c r="B119" s="82"/>
      <c r="C119" s="82"/>
    </row>
    <row r="120">
      <c r="B120" s="82"/>
      <c r="C120" s="82"/>
    </row>
    <row r="121">
      <c r="B121" s="82"/>
      <c r="C121" s="82"/>
    </row>
    <row r="122">
      <c r="B122" s="82"/>
      <c r="C122" s="82"/>
    </row>
    <row r="123">
      <c r="B123" s="82"/>
      <c r="C123" s="82"/>
    </row>
    <row r="124">
      <c r="B124" s="82"/>
      <c r="C124" s="82"/>
    </row>
    <row r="125">
      <c r="B125" s="82"/>
      <c r="C125" s="82"/>
    </row>
    <row r="126">
      <c r="B126" s="82"/>
      <c r="C126" s="82"/>
    </row>
    <row r="127">
      <c r="B127" s="82"/>
      <c r="C127" s="82"/>
    </row>
    <row r="128">
      <c r="B128" s="82"/>
      <c r="C128" s="82"/>
    </row>
    <row r="129">
      <c r="B129" s="82"/>
      <c r="C129" s="82"/>
    </row>
    <row r="130">
      <c r="B130" s="82"/>
      <c r="C130" s="82"/>
    </row>
    <row r="131">
      <c r="B131" s="82"/>
      <c r="C131" s="82"/>
    </row>
    <row r="132">
      <c r="B132" s="82"/>
      <c r="C132" s="82"/>
    </row>
    <row r="133">
      <c r="B133" s="82"/>
      <c r="C133" s="82"/>
    </row>
    <row r="134">
      <c r="B134" s="82"/>
      <c r="C134" s="82"/>
    </row>
    <row r="135">
      <c r="B135" s="82"/>
      <c r="C135" s="82"/>
    </row>
    <row r="136">
      <c r="B136" s="82"/>
      <c r="C136" s="82"/>
    </row>
    <row r="137">
      <c r="B137" s="82"/>
      <c r="C137" s="82"/>
    </row>
    <row r="138">
      <c r="B138" s="82"/>
      <c r="C138" s="82"/>
    </row>
    <row r="139">
      <c r="B139" s="82"/>
      <c r="C139" s="82"/>
    </row>
    <row r="140">
      <c r="B140" s="82"/>
      <c r="C140" s="82"/>
    </row>
    <row r="141">
      <c r="B141" s="82"/>
      <c r="C141" s="82"/>
    </row>
    <row r="142">
      <c r="B142" s="82"/>
      <c r="C142" s="82"/>
    </row>
    <row r="143">
      <c r="B143" s="82"/>
      <c r="C143" s="82"/>
    </row>
    <row r="144">
      <c r="B144" s="82"/>
      <c r="C144" s="82"/>
    </row>
    <row r="145">
      <c r="B145" s="82"/>
      <c r="C145" s="82"/>
    </row>
    <row r="146">
      <c r="B146" s="82"/>
      <c r="C146" s="82"/>
    </row>
    <row r="147">
      <c r="B147" s="82"/>
      <c r="C147" s="82"/>
    </row>
    <row r="148">
      <c r="B148" s="82"/>
      <c r="C148" s="82"/>
    </row>
    <row r="149">
      <c r="B149" s="82"/>
      <c r="C149" s="82"/>
    </row>
    <row r="150">
      <c r="B150" s="82"/>
      <c r="C150" s="82"/>
    </row>
    <row r="151">
      <c r="B151" s="82"/>
      <c r="C151" s="82"/>
    </row>
    <row r="152">
      <c r="B152" s="82"/>
      <c r="C152" s="82"/>
    </row>
    <row r="153">
      <c r="B153" s="82"/>
      <c r="C153" s="82"/>
    </row>
    <row r="154">
      <c r="B154" s="82"/>
      <c r="C154" s="82"/>
    </row>
    <row r="155">
      <c r="B155" s="82"/>
      <c r="C155" s="82"/>
    </row>
    <row r="156">
      <c r="B156" s="82"/>
      <c r="C156" s="82"/>
    </row>
    <row r="157">
      <c r="B157" s="82"/>
      <c r="C157" s="82"/>
    </row>
    <row r="158">
      <c r="B158" s="82"/>
      <c r="C158" s="82"/>
    </row>
    <row r="159">
      <c r="B159" s="82"/>
      <c r="C159" s="82"/>
    </row>
    <row r="160">
      <c r="B160" s="82"/>
      <c r="C160" s="82"/>
    </row>
    <row r="161">
      <c r="B161" s="82"/>
      <c r="C161" s="82"/>
    </row>
    <row r="162">
      <c r="B162" s="82"/>
      <c r="C162" s="82"/>
    </row>
    <row r="163">
      <c r="B163" s="82"/>
      <c r="C163" s="82"/>
    </row>
    <row r="164">
      <c r="B164" s="82"/>
      <c r="C164" s="82"/>
    </row>
    <row r="165">
      <c r="B165" s="82"/>
      <c r="C165" s="82"/>
    </row>
    <row r="166">
      <c r="B166" s="82"/>
      <c r="C166" s="82"/>
    </row>
    <row r="167">
      <c r="B167" s="82"/>
      <c r="C167" s="82"/>
    </row>
    <row r="168">
      <c r="B168" s="82"/>
      <c r="C168" s="82"/>
    </row>
    <row r="169">
      <c r="B169" s="82"/>
      <c r="C169" s="82"/>
    </row>
    <row r="170">
      <c r="B170" s="82"/>
      <c r="C170" s="82"/>
    </row>
    <row r="171">
      <c r="B171" s="82"/>
      <c r="C171" s="82"/>
    </row>
    <row r="172">
      <c r="B172" s="82"/>
      <c r="C172" s="82"/>
    </row>
    <row r="173">
      <c r="B173" s="82"/>
      <c r="C173" s="82"/>
    </row>
    <row r="174">
      <c r="B174" s="82"/>
      <c r="C174" s="82"/>
    </row>
    <row r="175">
      <c r="B175" s="82"/>
      <c r="C175" s="82"/>
    </row>
    <row r="176">
      <c r="B176" s="82"/>
      <c r="C176" s="82"/>
    </row>
    <row r="177">
      <c r="B177" s="82"/>
      <c r="C177" s="82"/>
    </row>
    <row r="178">
      <c r="B178" s="82"/>
      <c r="C178" s="82"/>
    </row>
    <row r="179">
      <c r="B179" s="82"/>
      <c r="C179" s="82"/>
    </row>
    <row r="180">
      <c r="B180" s="82"/>
      <c r="C180" s="82"/>
    </row>
    <row r="181">
      <c r="B181" s="82"/>
      <c r="C181" s="82"/>
    </row>
    <row r="182">
      <c r="B182" s="82"/>
      <c r="C182" s="82"/>
    </row>
    <row r="183">
      <c r="B183" s="82"/>
      <c r="C183" s="82"/>
    </row>
    <row r="184">
      <c r="B184" s="82"/>
      <c r="C184" s="82"/>
    </row>
    <row r="185">
      <c r="B185" s="82"/>
      <c r="C185" s="82"/>
    </row>
    <row r="186">
      <c r="B186" s="82"/>
      <c r="C186" s="82"/>
    </row>
    <row r="187">
      <c r="B187" s="82"/>
      <c r="C187" s="82"/>
    </row>
    <row r="188">
      <c r="B188" s="82"/>
      <c r="C188" s="82"/>
    </row>
    <row r="189">
      <c r="B189" s="82"/>
      <c r="C189" s="82"/>
    </row>
    <row r="190">
      <c r="B190" s="82"/>
      <c r="C190" s="82"/>
    </row>
    <row r="191">
      <c r="B191" s="82"/>
      <c r="C191" s="82"/>
    </row>
    <row r="192">
      <c r="B192" s="82"/>
      <c r="C192" s="82"/>
    </row>
    <row r="193">
      <c r="B193" s="82"/>
      <c r="C193" s="82"/>
    </row>
    <row r="194">
      <c r="B194" s="82"/>
      <c r="C194" s="82"/>
    </row>
    <row r="195">
      <c r="B195" s="82"/>
      <c r="C195" s="82"/>
    </row>
    <row r="196">
      <c r="B196" s="82"/>
      <c r="C196" s="82"/>
    </row>
    <row r="197">
      <c r="B197" s="82"/>
      <c r="C197" s="82"/>
    </row>
    <row r="198">
      <c r="B198" s="82"/>
      <c r="C198" s="82"/>
    </row>
    <row r="199">
      <c r="B199" s="82"/>
      <c r="C199" s="82"/>
    </row>
    <row r="200">
      <c r="B200" s="82"/>
      <c r="C200" s="82"/>
    </row>
    <row r="201">
      <c r="B201" s="82"/>
      <c r="C201" s="82"/>
    </row>
    <row r="202">
      <c r="B202" s="82"/>
      <c r="C202" s="82"/>
    </row>
    <row r="203">
      <c r="B203" s="82"/>
      <c r="C203" s="82"/>
    </row>
    <row r="204">
      <c r="B204" s="82"/>
      <c r="C204" s="82"/>
    </row>
    <row r="205">
      <c r="B205" s="82"/>
      <c r="C205" s="82"/>
    </row>
    <row r="206">
      <c r="B206" s="82"/>
      <c r="C206" s="82"/>
    </row>
    <row r="207">
      <c r="B207" s="82"/>
      <c r="C207" s="82"/>
    </row>
    <row r="208">
      <c r="B208" s="82"/>
      <c r="C208" s="82"/>
    </row>
    <row r="209">
      <c r="B209" s="82"/>
      <c r="C209" s="82"/>
    </row>
    <row r="210">
      <c r="B210" s="82"/>
      <c r="C210" s="82"/>
    </row>
    <row r="211">
      <c r="B211" s="82"/>
      <c r="C211" s="82"/>
    </row>
    <row r="212">
      <c r="B212" s="82"/>
      <c r="C212" s="82"/>
    </row>
    <row r="213">
      <c r="B213" s="82"/>
      <c r="C213" s="82"/>
    </row>
    <row r="214">
      <c r="B214" s="82"/>
      <c r="C214" s="82"/>
    </row>
    <row r="215">
      <c r="B215" s="82"/>
      <c r="C215" s="82"/>
    </row>
    <row r="216">
      <c r="B216" s="82"/>
      <c r="C216" s="82"/>
    </row>
    <row r="217">
      <c r="B217" s="82"/>
      <c r="C217" s="82"/>
    </row>
    <row r="218">
      <c r="B218" s="82"/>
      <c r="C218" s="82"/>
    </row>
    <row r="219">
      <c r="B219" s="82"/>
      <c r="C219" s="82"/>
    </row>
    <row r="220">
      <c r="B220" s="82"/>
      <c r="C220" s="82"/>
    </row>
    <row r="221">
      <c r="B221" s="82"/>
      <c r="C221" s="82"/>
    </row>
    <row r="222">
      <c r="B222" s="82"/>
      <c r="C222" s="82"/>
    </row>
    <row r="223">
      <c r="B223" s="82"/>
      <c r="C223" s="82"/>
    </row>
    <row r="224">
      <c r="B224" s="82"/>
      <c r="C224" s="82"/>
    </row>
    <row r="225">
      <c r="B225" s="82"/>
      <c r="C225" s="82"/>
    </row>
    <row r="226">
      <c r="B226" s="82"/>
      <c r="C226" s="82"/>
    </row>
    <row r="227">
      <c r="B227" s="82"/>
      <c r="C227" s="82"/>
    </row>
    <row r="228">
      <c r="B228" s="82"/>
      <c r="C228" s="82"/>
    </row>
    <row r="229">
      <c r="B229" s="82"/>
      <c r="C229" s="82"/>
    </row>
    <row r="230">
      <c r="B230" s="82"/>
      <c r="C230" s="82"/>
    </row>
    <row r="231">
      <c r="B231" s="82"/>
      <c r="C231" s="82"/>
    </row>
    <row r="232">
      <c r="B232" s="82"/>
      <c r="C232" s="82"/>
    </row>
    <row r="233">
      <c r="B233" s="82"/>
      <c r="C233" s="82"/>
    </row>
    <row r="234">
      <c r="B234" s="82"/>
      <c r="C234" s="82"/>
    </row>
    <row r="235">
      <c r="B235" s="82"/>
      <c r="C235" s="82"/>
    </row>
    <row r="236">
      <c r="B236" s="82"/>
      <c r="C236" s="82"/>
    </row>
    <row r="237">
      <c r="B237" s="82"/>
      <c r="C237" s="82"/>
    </row>
    <row r="238">
      <c r="B238" s="82"/>
      <c r="C238" s="82"/>
    </row>
    <row r="239">
      <c r="B239" s="82"/>
      <c r="C239" s="82"/>
    </row>
    <row r="240">
      <c r="B240" s="82"/>
      <c r="C240" s="82"/>
    </row>
    <row r="241">
      <c r="B241" s="82"/>
      <c r="C241" s="82"/>
    </row>
    <row r="242">
      <c r="B242" s="82"/>
      <c r="C242" s="82"/>
    </row>
    <row r="243">
      <c r="B243" s="82"/>
      <c r="C243" s="82"/>
    </row>
    <row r="244">
      <c r="B244" s="82"/>
      <c r="C244" s="82"/>
    </row>
    <row r="245">
      <c r="B245" s="82"/>
      <c r="C245" s="82"/>
    </row>
    <row r="246">
      <c r="B246" s="82"/>
      <c r="C246" s="82"/>
    </row>
    <row r="247">
      <c r="B247" s="82"/>
      <c r="C247" s="82"/>
    </row>
    <row r="248">
      <c r="B248" s="82"/>
      <c r="C248" s="82"/>
    </row>
    <row r="249">
      <c r="B249" s="82"/>
      <c r="C249" s="82"/>
    </row>
    <row r="250">
      <c r="B250" s="82"/>
      <c r="C250" s="82"/>
    </row>
    <row r="251">
      <c r="B251" s="82"/>
      <c r="C251" s="82"/>
    </row>
    <row r="252">
      <c r="B252" s="82"/>
      <c r="C252" s="82"/>
    </row>
    <row r="253">
      <c r="B253" s="82"/>
      <c r="C253" s="82"/>
    </row>
    <row r="254">
      <c r="B254" s="82"/>
      <c r="C254" s="82"/>
    </row>
    <row r="255">
      <c r="B255" s="82"/>
      <c r="C255" s="82"/>
    </row>
    <row r="256">
      <c r="B256" s="82"/>
      <c r="C256" s="82"/>
    </row>
    <row r="257">
      <c r="B257" s="82"/>
      <c r="C257" s="82"/>
    </row>
    <row r="258">
      <c r="B258" s="82"/>
      <c r="C258" s="82"/>
    </row>
    <row r="259">
      <c r="B259" s="82"/>
      <c r="C259" s="82"/>
    </row>
    <row r="260">
      <c r="B260" s="82"/>
      <c r="C260" s="82"/>
    </row>
    <row r="261">
      <c r="B261" s="82"/>
      <c r="C261" s="82"/>
    </row>
    <row r="262">
      <c r="B262" s="82"/>
      <c r="C262" s="82"/>
    </row>
    <row r="263">
      <c r="B263" s="82"/>
      <c r="C263" s="82"/>
    </row>
    <row r="264">
      <c r="B264" s="82"/>
      <c r="C264" s="82"/>
    </row>
    <row r="265">
      <c r="B265" s="82"/>
      <c r="C265" s="82"/>
    </row>
    <row r="266">
      <c r="B266" s="82"/>
      <c r="C266" s="82"/>
    </row>
    <row r="267">
      <c r="B267" s="82"/>
      <c r="C267" s="82"/>
    </row>
    <row r="268">
      <c r="B268" s="82"/>
      <c r="C268" s="82"/>
    </row>
    <row r="269">
      <c r="B269" s="82"/>
      <c r="C269" s="82"/>
    </row>
    <row r="270">
      <c r="B270" s="82"/>
      <c r="C270" s="82"/>
    </row>
    <row r="271">
      <c r="B271" s="82"/>
      <c r="C271" s="82"/>
    </row>
    <row r="272">
      <c r="B272" s="82"/>
      <c r="C272" s="82"/>
    </row>
    <row r="273">
      <c r="B273" s="82"/>
      <c r="C273" s="82"/>
    </row>
    <row r="274">
      <c r="B274" s="82"/>
      <c r="C274" s="82"/>
    </row>
    <row r="275">
      <c r="B275" s="82"/>
      <c r="C275" s="82"/>
    </row>
    <row r="276">
      <c r="B276" s="82"/>
      <c r="C276" s="82"/>
    </row>
    <row r="277">
      <c r="B277" s="82"/>
      <c r="C277" s="82"/>
    </row>
    <row r="278">
      <c r="B278" s="82"/>
      <c r="C278" s="82"/>
    </row>
    <row r="279">
      <c r="B279" s="82"/>
      <c r="C279" s="82"/>
    </row>
    <row r="280">
      <c r="B280" s="82"/>
      <c r="C280" s="82"/>
    </row>
    <row r="281">
      <c r="B281" s="82"/>
      <c r="C281" s="82"/>
    </row>
    <row r="282">
      <c r="B282" s="82"/>
      <c r="C282" s="82"/>
    </row>
    <row r="283">
      <c r="B283" s="82"/>
      <c r="C283" s="82"/>
    </row>
    <row r="284">
      <c r="B284" s="82"/>
      <c r="C284" s="82"/>
    </row>
    <row r="285">
      <c r="B285" s="82"/>
      <c r="C285" s="82"/>
    </row>
    <row r="286">
      <c r="B286" s="82"/>
      <c r="C286" s="82"/>
    </row>
    <row r="287">
      <c r="B287" s="82"/>
      <c r="C287" s="82"/>
    </row>
    <row r="288">
      <c r="B288" s="82"/>
      <c r="C288" s="82"/>
    </row>
    <row r="289">
      <c r="B289" s="82"/>
      <c r="C289" s="82"/>
    </row>
    <row r="290">
      <c r="B290" s="82"/>
      <c r="C290" s="82"/>
    </row>
    <row r="291">
      <c r="B291" s="82"/>
      <c r="C291" s="82"/>
    </row>
    <row r="292">
      <c r="B292" s="82"/>
      <c r="C292" s="82"/>
    </row>
    <row r="293">
      <c r="B293" s="82"/>
      <c r="C293" s="82"/>
    </row>
    <row r="294">
      <c r="B294" s="82"/>
      <c r="C294" s="82"/>
    </row>
    <row r="295">
      <c r="B295" s="82"/>
      <c r="C295" s="82"/>
    </row>
    <row r="296">
      <c r="B296" s="82"/>
      <c r="C296" s="82"/>
    </row>
    <row r="297">
      <c r="B297" s="82"/>
      <c r="C297" s="82"/>
    </row>
    <row r="298">
      <c r="B298" s="82"/>
      <c r="C298" s="82"/>
    </row>
    <row r="299">
      <c r="B299" s="82"/>
      <c r="C299" s="82"/>
    </row>
    <row r="300">
      <c r="B300" s="82"/>
      <c r="C300" s="82"/>
    </row>
    <row r="301">
      <c r="B301" s="82"/>
      <c r="C301" s="82"/>
    </row>
    <row r="302">
      <c r="B302" s="82"/>
      <c r="C302" s="82"/>
    </row>
    <row r="303">
      <c r="B303" s="82"/>
      <c r="C303" s="82"/>
    </row>
    <row r="304">
      <c r="B304" s="82"/>
      <c r="C304" s="82"/>
    </row>
    <row r="305">
      <c r="B305" s="82"/>
      <c r="C305" s="82"/>
    </row>
    <row r="306">
      <c r="B306" s="82"/>
      <c r="C306" s="82"/>
    </row>
    <row r="307">
      <c r="B307" s="82"/>
      <c r="C307" s="82"/>
    </row>
    <row r="308">
      <c r="B308" s="82"/>
      <c r="C308" s="82"/>
    </row>
    <row r="309">
      <c r="B309" s="82"/>
      <c r="C309" s="82"/>
    </row>
    <row r="310">
      <c r="B310" s="82"/>
      <c r="C310" s="82"/>
    </row>
    <row r="311">
      <c r="B311" s="82"/>
      <c r="C311" s="82"/>
    </row>
    <row r="312">
      <c r="B312" s="82"/>
      <c r="C312" s="82"/>
    </row>
    <row r="313">
      <c r="B313" s="82"/>
      <c r="C313" s="82"/>
    </row>
    <row r="314">
      <c r="B314" s="82"/>
      <c r="C314" s="82"/>
    </row>
    <row r="315">
      <c r="B315" s="82"/>
      <c r="C315" s="82"/>
    </row>
    <row r="316">
      <c r="B316" s="82"/>
      <c r="C316" s="82"/>
    </row>
    <row r="317">
      <c r="B317" s="82"/>
      <c r="C317" s="82"/>
    </row>
    <row r="318">
      <c r="B318" s="82"/>
      <c r="C318" s="82"/>
    </row>
    <row r="319">
      <c r="B319" s="82"/>
      <c r="C319" s="82"/>
    </row>
    <row r="320">
      <c r="B320" s="82"/>
      <c r="C320" s="82"/>
    </row>
    <row r="321">
      <c r="B321" s="82"/>
      <c r="C321" s="82"/>
    </row>
    <row r="322">
      <c r="B322" s="82"/>
      <c r="C322" s="82"/>
    </row>
    <row r="323">
      <c r="B323" s="82"/>
      <c r="C323" s="82"/>
    </row>
    <row r="324">
      <c r="B324" s="82"/>
      <c r="C324" s="82"/>
    </row>
    <row r="325">
      <c r="B325" s="82"/>
      <c r="C325" s="82"/>
    </row>
    <row r="326">
      <c r="B326" s="82"/>
      <c r="C326" s="82"/>
    </row>
    <row r="327">
      <c r="B327" s="82"/>
      <c r="C327" s="82"/>
    </row>
    <row r="328">
      <c r="B328" s="82"/>
      <c r="C328" s="82"/>
    </row>
    <row r="329">
      <c r="B329" s="82"/>
      <c r="C329" s="82"/>
    </row>
    <row r="330">
      <c r="B330" s="82"/>
      <c r="C330" s="82"/>
    </row>
    <row r="331">
      <c r="B331" s="82"/>
      <c r="C331" s="82"/>
    </row>
    <row r="332">
      <c r="B332" s="82"/>
      <c r="C332" s="82"/>
    </row>
    <row r="333">
      <c r="B333" s="82"/>
      <c r="C333" s="82"/>
    </row>
    <row r="334">
      <c r="B334" s="82"/>
      <c r="C334" s="82"/>
    </row>
    <row r="335">
      <c r="B335" s="82"/>
      <c r="C335" s="82"/>
    </row>
    <row r="336">
      <c r="B336" s="82"/>
      <c r="C336" s="82"/>
    </row>
    <row r="337">
      <c r="B337" s="82"/>
      <c r="C337" s="82"/>
    </row>
    <row r="338">
      <c r="B338" s="82"/>
      <c r="C338" s="82"/>
    </row>
    <row r="339">
      <c r="B339" s="82"/>
      <c r="C339" s="82"/>
    </row>
    <row r="340">
      <c r="B340" s="82"/>
      <c r="C340" s="82"/>
    </row>
    <row r="341">
      <c r="B341" s="82"/>
      <c r="C341" s="82"/>
    </row>
    <row r="342">
      <c r="B342" s="82"/>
      <c r="C342" s="82"/>
    </row>
    <row r="343">
      <c r="B343" s="82"/>
      <c r="C343" s="82"/>
    </row>
    <row r="344">
      <c r="B344" s="82"/>
      <c r="C344" s="82"/>
    </row>
    <row r="345">
      <c r="B345" s="82"/>
      <c r="C345" s="82"/>
    </row>
    <row r="346">
      <c r="B346" s="82"/>
      <c r="C346" s="82"/>
    </row>
    <row r="347">
      <c r="B347" s="82"/>
      <c r="C347" s="82"/>
    </row>
    <row r="348">
      <c r="B348" s="82"/>
      <c r="C348" s="82"/>
    </row>
    <row r="349">
      <c r="B349" s="82"/>
      <c r="C349" s="82"/>
    </row>
    <row r="350">
      <c r="B350" s="82"/>
      <c r="C350" s="82"/>
    </row>
    <row r="351">
      <c r="B351" s="82"/>
      <c r="C351" s="82"/>
    </row>
    <row r="352">
      <c r="B352" s="82"/>
      <c r="C352" s="82"/>
    </row>
    <row r="353">
      <c r="B353" s="82"/>
      <c r="C353" s="82"/>
    </row>
    <row r="354">
      <c r="B354" s="82"/>
      <c r="C354" s="82"/>
    </row>
    <row r="355">
      <c r="B355" s="82"/>
      <c r="C355" s="82"/>
    </row>
    <row r="356">
      <c r="B356" s="82"/>
      <c r="C356" s="82"/>
    </row>
    <row r="357">
      <c r="B357" s="82"/>
      <c r="C357" s="82"/>
    </row>
    <row r="358">
      <c r="B358" s="82"/>
      <c r="C358" s="82"/>
    </row>
    <row r="359">
      <c r="B359" s="82"/>
      <c r="C359" s="82"/>
    </row>
    <row r="360">
      <c r="B360" s="82"/>
      <c r="C360" s="82"/>
    </row>
    <row r="361">
      <c r="B361" s="82"/>
      <c r="C361" s="82"/>
    </row>
    <row r="362">
      <c r="B362" s="82"/>
      <c r="C362" s="82"/>
    </row>
    <row r="363">
      <c r="B363" s="82"/>
      <c r="C363" s="82"/>
    </row>
    <row r="364">
      <c r="B364" s="82"/>
      <c r="C364" s="82"/>
    </row>
    <row r="365">
      <c r="B365" s="82"/>
      <c r="C365" s="82"/>
    </row>
    <row r="366">
      <c r="B366" s="82"/>
      <c r="C366" s="82"/>
    </row>
    <row r="367">
      <c r="B367" s="82"/>
      <c r="C367" s="82"/>
    </row>
    <row r="368">
      <c r="B368" s="82"/>
      <c r="C368" s="82"/>
    </row>
    <row r="369">
      <c r="B369" s="82"/>
      <c r="C369" s="82"/>
    </row>
    <row r="370">
      <c r="B370" s="82"/>
      <c r="C370" s="82"/>
    </row>
    <row r="371">
      <c r="B371" s="82"/>
      <c r="C371" s="82"/>
    </row>
    <row r="372">
      <c r="B372" s="82"/>
      <c r="C372" s="82"/>
    </row>
    <row r="373">
      <c r="B373" s="82"/>
      <c r="C373" s="82"/>
    </row>
    <row r="374">
      <c r="B374" s="82"/>
      <c r="C374" s="82"/>
    </row>
    <row r="375">
      <c r="B375" s="82"/>
      <c r="C375" s="82"/>
    </row>
    <row r="376">
      <c r="B376" s="82"/>
      <c r="C376" s="82"/>
    </row>
    <row r="377">
      <c r="B377" s="82"/>
      <c r="C377" s="82"/>
    </row>
    <row r="378">
      <c r="B378" s="82"/>
      <c r="C378" s="82"/>
    </row>
    <row r="379">
      <c r="B379" s="82"/>
      <c r="C379" s="82"/>
    </row>
    <row r="380">
      <c r="B380" s="82"/>
      <c r="C380" s="82"/>
    </row>
    <row r="381">
      <c r="B381" s="82"/>
      <c r="C381" s="82"/>
    </row>
    <row r="382">
      <c r="B382" s="82"/>
      <c r="C382" s="82"/>
    </row>
    <row r="383">
      <c r="B383" s="82"/>
      <c r="C383" s="82"/>
    </row>
    <row r="384">
      <c r="B384" s="82"/>
      <c r="C384" s="82"/>
    </row>
    <row r="385">
      <c r="B385" s="82"/>
      <c r="C385" s="82"/>
    </row>
    <row r="386">
      <c r="B386" s="82"/>
      <c r="C386" s="82"/>
    </row>
    <row r="387">
      <c r="B387" s="82"/>
      <c r="C387" s="82"/>
    </row>
    <row r="388">
      <c r="B388" s="82"/>
      <c r="C388" s="82"/>
    </row>
    <row r="389">
      <c r="B389" s="82"/>
      <c r="C389" s="82"/>
    </row>
    <row r="390">
      <c r="B390" s="82"/>
      <c r="C390" s="82"/>
    </row>
    <row r="391">
      <c r="B391" s="82"/>
      <c r="C391" s="82"/>
    </row>
    <row r="392">
      <c r="B392" s="82"/>
      <c r="C392" s="82"/>
    </row>
    <row r="393">
      <c r="B393" s="82"/>
      <c r="C393" s="82"/>
    </row>
    <row r="394">
      <c r="B394" s="82"/>
      <c r="C394" s="82"/>
    </row>
    <row r="395">
      <c r="B395" s="82"/>
      <c r="C395" s="82"/>
    </row>
    <row r="396">
      <c r="B396" s="82"/>
      <c r="C396" s="82"/>
    </row>
    <row r="397">
      <c r="B397" s="82"/>
      <c r="C397" s="82"/>
    </row>
    <row r="398">
      <c r="B398" s="82"/>
      <c r="C398" s="82"/>
    </row>
    <row r="399">
      <c r="B399" s="82"/>
      <c r="C399" s="82"/>
    </row>
    <row r="400">
      <c r="B400" s="82"/>
      <c r="C400" s="82"/>
    </row>
    <row r="401">
      <c r="B401" s="82"/>
      <c r="C401" s="82"/>
    </row>
    <row r="402">
      <c r="B402" s="82"/>
      <c r="C402" s="82"/>
    </row>
    <row r="403">
      <c r="B403" s="82"/>
      <c r="C403" s="82"/>
    </row>
    <row r="404">
      <c r="B404" s="82"/>
      <c r="C404" s="82"/>
    </row>
    <row r="405">
      <c r="B405" s="82"/>
      <c r="C405" s="82"/>
    </row>
    <row r="406">
      <c r="B406" s="82"/>
      <c r="C406" s="82"/>
    </row>
    <row r="407">
      <c r="B407" s="82"/>
      <c r="C407" s="82"/>
    </row>
    <row r="408">
      <c r="B408" s="82"/>
      <c r="C408" s="82"/>
    </row>
    <row r="409">
      <c r="B409" s="82"/>
      <c r="C409" s="82"/>
    </row>
    <row r="410">
      <c r="B410" s="82"/>
      <c r="C410" s="82"/>
    </row>
    <row r="411">
      <c r="B411" s="82"/>
      <c r="C411" s="82"/>
    </row>
    <row r="412">
      <c r="B412" s="82"/>
      <c r="C412" s="82"/>
    </row>
    <row r="413">
      <c r="B413" s="82"/>
      <c r="C413" s="82"/>
    </row>
    <row r="414">
      <c r="B414" s="82"/>
      <c r="C414" s="82"/>
    </row>
    <row r="415">
      <c r="B415" s="82"/>
      <c r="C415" s="82"/>
    </row>
    <row r="416">
      <c r="B416" s="82"/>
      <c r="C416" s="82"/>
    </row>
    <row r="417">
      <c r="B417" s="82"/>
      <c r="C417" s="82"/>
    </row>
    <row r="418">
      <c r="B418" s="82"/>
      <c r="C418" s="82"/>
    </row>
    <row r="419">
      <c r="B419" s="82"/>
      <c r="C419" s="82"/>
    </row>
    <row r="420">
      <c r="B420" s="82"/>
      <c r="C420" s="82"/>
    </row>
    <row r="421">
      <c r="B421" s="82"/>
      <c r="C421" s="82"/>
    </row>
    <row r="422">
      <c r="B422" s="82"/>
      <c r="C422" s="82"/>
    </row>
    <row r="423">
      <c r="B423" s="82"/>
      <c r="C423" s="82"/>
    </row>
    <row r="424">
      <c r="B424" s="82"/>
      <c r="C424" s="82"/>
    </row>
    <row r="425">
      <c r="B425" s="82"/>
      <c r="C425" s="82"/>
    </row>
    <row r="426">
      <c r="B426" s="82"/>
      <c r="C426" s="82"/>
    </row>
    <row r="427">
      <c r="B427" s="82"/>
      <c r="C427" s="82"/>
    </row>
    <row r="428">
      <c r="B428" s="82"/>
      <c r="C428" s="82"/>
    </row>
    <row r="429">
      <c r="B429" s="82"/>
      <c r="C429" s="82"/>
    </row>
    <row r="430">
      <c r="B430" s="82"/>
      <c r="C430" s="82"/>
    </row>
    <row r="431">
      <c r="B431" s="82"/>
      <c r="C431" s="82"/>
    </row>
    <row r="432">
      <c r="B432" s="82"/>
      <c r="C432" s="82"/>
    </row>
    <row r="433">
      <c r="B433" s="82"/>
      <c r="C433" s="82"/>
    </row>
    <row r="434">
      <c r="B434" s="82"/>
      <c r="C434" s="82"/>
    </row>
    <row r="435">
      <c r="B435" s="82"/>
      <c r="C435" s="82"/>
    </row>
    <row r="436">
      <c r="B436" s="82"/>
      <c r="C436" s="82"/>
    </row>
    <row r="437">
      <c r="B437" s="82"/>
      <c r="C437" s="82"/>
    </row>
    <row r="438">
      <c r="B438" s="82"/>
      <c r="C438" s="82"/>
    </row>
    <row r="439">
      <c r="B439" s="82"/>
      <c r="C439" s="82"/>
    </row>
    <row r="440">
      <c r="B440" s="82"/>
      <c r="C440" s="82"/>
    </row>
    <row r="441">
      <c r="B441" s="82"/>
      <c r="C441" s="82"/>
    </row>
    <row r="442">
      <c r="B442" s="82"/>
      <c r="C442" s="82"/>
    </row>
    <row r="443">
      <c r="B443" s="82"/>
      <c r="C443" s="82"/>
    </row>
    <row r="444">
      <c r="B444" s="82"/>
      <c r="C444" s="82"/>
    </row>
    <row r="445">
      <c r="B445" s="82"/>
      <c r="C445" s="82"/>
    </row>
    <row r="446">
      <c r="B446" s="82"/>
      <c r="C446" s="82"/>
    </row>
    <row r="447">
      <c r="B447" s="82"/>
      <c r="C447" s="82"/>
    </row>
    <row r="448">
      <c r="B448" s="82"/>
      <c r="C448" s="82"/>
    </row>
    <row r="449">
      <c r="B449" s="82"/>
      <c r="C449" s="82"/>
    </row>
    <row r="450">
      <c r="B450" s="82"/>
      <c r="C450" s="82"/>
    </row>
    <row r="451">
      <c r="B451" s="82"/>
      <c r="C451" s="82"/>
    </row>
    <row r="452">
      <c r="B452" s="82"/>
      <c r="C452" s="82"/>
    </row>
    <row r="453">
      <c r="B453" s="82"/>
      <c r="C453" s="82"/>
    </row>
    <row r="454">
      <c r="B454" s="82"/>
      <c r="C454" s="82"/>
    </row>
    <row r="455">
      <c r="B455" s="82"/>
      <c r="C455" s="82"/>
    </row>
    <row r="456">
      <c r="B456" s="82"/>
      <c r="C456" s="82"/>
    </row>
    <row r="457">
      <c r="B457" s="82"/>
      <c r="C457" s="82"/>
    </row>
    <row r="458">
      <c r="B458" s="82"/>
      <c r="C458" s="82"/>
    </row>
    <row r="459">
      <c r="B459" s="82"/>
      <c r="C459" s="82"/>
    </row>
    <row r="460">
      <c r="B460" s="82"/>
      <c r="C460" s="82"/>
    </row>
    <row r="461">
      <c r="B461" s="82"/>
      <c r="C461" s="82"/>
    </row>
    <row r="462">
      <c r="B462" s="82"/>
      <c r="C462" s="82"/>
    </row>
    <row r="463">
      <c r="B463" s="82"/>
      <c r="C463" s="82"/>
    </row>
    <row r="464">
      <c r="B464" s="82"/>
      <c r="C464" s="82"/>
    </row>
    <row r="465">
      <c r="B465" s="82"/>
      <c r="C465" s="82"/>
    </row>
    <row r="466">
      <c r="B466" s="82"/>
      <c r="C466" s="82"/>
    </row>
    <row r="467">
      <c r="B467" s="82"/>
      <c r="C467" s="82"/>
    </row>
    <row r="468">
      <c r="B468" s="82"/>
      <c r="C468" s="82"/>
    </row>
    <row r="469">
      <c r="B469" s="82"/>
      <c r="C469" s="82"/>
    </row>
    <row r="470">
      <c r="B470" s="82"/>
      <c r="C470" s="82"/>
    </row>
    <row r="471">
      <c r="B471" s="82"/>
      <c r="C471" s="82"/>
    </row>
    <row r="472">
      <c r="B472" s="82"/>
      <c r="C472" s="82"/>
    </row>
    <row r="473">
      <c r="B473" s="82"/>
      <c r="C473" s="82"/>
    </row>
    <row r="474">
      <c r="B474" s="82"/>
      <c r="C474" s="82"/>
    </row>
    <row r="475">
      <c r="B475" s="82"/>
      <c r="C475" s="82"/>
    </row>
    <row r="476">
      <c r="B476" s="82"/>
      <c r="C476" s="82"/>
    </row>
    <row r="477">
      <c r="B477" s="82"/>
      <c r="C477" s="82"/>
    </row>
    <row r="478">
      <c r="B478" s="82"/>
      <c r="C478" s="82"/>
    </row>
    <row r="479">
      <c r="B479" s="82"/>
      <c r="C479" s="82"/>
    </row>
    <row r="480">
      <c r="B480" s="82"/>
      <c r="C480" s="82"/>
    </row>
    <row r="481">
      <c r="B481" s="82"/>
      <c r="C481" s="82"/>
    </row>
    <row r="482">
      <c r="B482" s="82"/>
      <c r="C482" s="82"/>
    </row>
    <row r="483">
      <c r="B483" s="82"/>
      <c r="C483" s="82"/>
    </row>
    <row r="484">
      <c r="B484" s="82"/>
      <c r="C484" s="82"/>
    </row>
    <row r="485">
      <c r="B485" s="82"/>
      <c r="C485" s="82"/>
    </row>
    <row r="486">
      <c r="B486" s="82"/>
      <c r="C486" s="82"/>
    </row>
    <row r="487">
      <c r="B487" s="82"/>
      <c r="C487" s="82"/>
    </row>
    <row r="488">
      <c r="B488" s="82"/>
      <c r="C488" s="82"/>
    </row>
    <row r="489">
      <c r="B489" s="82"/>
      <c r="C489" s="82"/>
    </row>
    <row r="490">
      <c r="B490" s="82"/>
      <c r="C490" s="82"/>
    </row>
    <row r="491">
      <c r="B491" s="82"/>
      <c r="C491" s="82"/>
    </row>
    <row r="492">
      <c r="B492" s="82"/>
      <c r="C492" s="82"/>
    </row>
    <row r="493">
      <c r="B493" s="82"/>
      <c r="C493" s="82"/>
    </row>
    <row r="494">
      <c r="B494" s="82"/>
      <c r="C494" s="82"/>
    </row>
    <row r="495">
      <c r="B495" s="82"/>
      <c r="C495" s="82"/>
    </row>
    <row r="496">
      <c r="B496" s="82"/>
      <c r="C496" s="82"/>
    </row>
    <row r="497">
      <c r="B497" s="82"/>
      <c r="C497" s="82"/>
    </row>
    <row r="498">
      <c r="B498" s="82"/>
      <c r="C498" s="82"/>
    </row>
    <row r="499">
      <c r="B499" s="82"/>
      <c r="C499" s="82"/>
    </row>
    <row r="500">
      <c r="B500" s="82"/>
      <c r="C500" s="82"/>
    </row>
    <row r="501">
      <c r="B501" s="82"/>
      <c r="C501" s="82"/>
    </row>
    <row r="502">
      <c r="B502" s="82"/>
      <c r="C502" s="82"/>
    </row>
    <row r="503">
      <c r="B503" s="82"/>
      <c r="C503" s="82"/>
    </row>
    <row r="504">
      <c r="B504" s="82"/>
      <c r="C504" s="82"/>
    </row>
    <row r="505">
      <c r="B505" s="82"/>
      <c r="C505" s="82"/>
    </row>
    <row r="506">
      <c r="B506" s="82"/>
      <c r="C506" s="82"/>
    </row>
    <row r="507">
      <c r="B507" s="82"/>
      <c r="C507" s="82"/>
    </row>
    <row r="508">
      <c r="B508" s="82"/>
      <c r="C508" s="82"/>
    </row>
    <row r="509">
      <c r="B509" s="82"/>
      <c r="C509" s="82"/>
    </row>
    <row r="510">
      <c r="B510" s="82"/>
      <c r="C510" s="82"/>
    </row>
    <row r="511">
      <c r="B511" s="82"/>
      <c r="C511" s="82"/>
    </row>
    <row r="512">
      <c r="B512" s="82"/>
      <c r="C512" s="82"/>
    </row>
    <row r="513">
      <c r="B513" s="82"/>
      <c r="C513" s="82"/>
    </row>
    <row r="514">
      <c r="B514" s="82"/>
      <c r="C514" s="82"/>
    </row>
    <row r="515">
      <c r="B515" s="82"/>
      <c r="C515" s="82"/>
    </row>
    <row r="516">
      <c r="B516" s="82"/>
      <c r="C516" s="82"/>
    </row>
    <row r="517">
      <c r="B517" s="82"/>
      <c r="C517" s="82"/>
    </row>
    <row r="518">
      <c r="B518" s="82"/>
      <c r="C518" s="82"/>
    </row>
    <row r="519">
      <c r="B519" s="82"/>
      <c r="C519" s="82"/>
    </row>
    <row r="520">
      <c r="B520" s="82"/>
      <c r="C520" s="82"/>
    </row>
    <row r="521">
      <c r="B521" s="82"/>
      <c r="C521" s="82"/>
    </row>
    <row r="522">
      <c r="B522" s="82"/>
      <c r="C522" s="82"/>
    </row>
    <row r="523">
      <c r="B523" s="82"/>
      <c r="C523" s="82"/>
    </row>
    <row r="524">
      <c r="B524" s="82"/>
      <c r="C524" s="82"/>
    </row>
    <row r="525">
      <c r="B525" s="82"/>
      <c r="C525" s="82"/>
    </row>
    <row r="526">
      <c r="B526" s="82"/>
      <c r="C526" s="82"/>
    </row>
    <row r="527">
      <c r="B527" s="82"/>
      <c r="C527" s="82"/>
    </row>
    <row r="528">
      <c r="B528" s="82"/>
      <c r="C528" s="82"/>
    </row>
    <row r="529">
      <c r="B529" s="82"/>
      <c r="C529" s="82"/>
    </row>
    <row r="530">
      <c r="B530" s="82"/>
      <c r="C530" s="82"/>
    </row>
    <row r="531">
      <c r="B531" s="82"/>
      <c r="C531" s="82"/>
    </row>
    <row r="532">
      <c r="B532" s="82"/>
      <c r="C532" s="82"/>
    </row>
    <row r="533">
      <c r="B533" s="82"/>
      <c r="C533" s="82"/>
    </row>
    <row r="534">
      <c r="B534" s="82"/>
      <c r="C534" s="82"/>
    </row>
    <row r="535">
      <c r="B535" s="82"/>
      <c r="C535" s="82"/>
    </row>
    <row r="536">
      <c r="B536" s="82"/>
      <c r="C536" s="82"/>
    </row>
    <row r="537">
      <c r="B537" s="82"/>
      <c r="C537" s="82"/>
    </row>
    <row r="538">
      <c r="B538" s="82"/>
      <c r="C538" s="82"/>
    </row>
    <row r="539">
      <c r="B539" s="82"/>
      <c r="C539" s="82"/>
    </row>
    <row r="540">
      <c r="B540" s="82"/>
      <c r="C540" s="82"/>
    </row>
    <row r="541">
      <c r="B541" s="82"/>
      <c r="C541" s="82"/>
    </row>
    <row r="542">
      <c r="B542" s="82"/>
      <c r="C542" s="82"/>
    </row>
    <row r="543">
      <c r="B543" s="82"/>
      <c r="C543" s="82"/>
    </row>
    <row r="544">
      <c r="B544" s="82"/>
      <c r="C544" s="82"/>
    </row>
    <row r="545">
      <c r="B545" s="82"/>
      <c r="C545" s="82"/>
    </row>
    <row r="546">
      <c r="B546" s="82"/>
      <c r="C546" s="82"/>
    </row>
    <row r="547">
      <c r="B547" s="82"/>
      <c r="C547" s="82"/>
    </row>
    <row r="548">
      <c r="B548" s="82"/>
      <c r="C548" s="82"/>
    </row>
    <row r="549">
      <c r="B549" s="82"/>
      <c r="C549" s="82"/>
    </row>
    <row r="550">
      <c r="B550" s="82"/>
      <c r="C550" s="82"/>
    </row>
    <row r="551">
      <c r="B551" s="82"/>
      <c r="C551" s="82"/>
    </row>
    <row r="552">
      <c r="B552" s="82"/>
      <c r="C552" s="82"/>
    </row>
    <row r="553">
      <c r="B553" s="82"/>
      <c r="C553" s="82"/>
    </row>
    <row r="554">
      <c r="B554" s="82"/>
      <c r="C554" s="82"/>
    </row>
    <row r="555">
      <c r="B555" s="82"/>
      <c r="C555" s="82"/>
    </row>
    <row r="556">
      <c r="B556" s="82"/>
      <c r="C556" s="82"/>
    </row>
    <row r="557">
      <c r="B557" s="82"/>
      <c r="C557" s="82"/>
    </row>
    <row r="558">
      <c r="B558" s="82"/>
      <c r="C558" s="82"/>
    </row>
    <row r="559">
      <c r="B559" s="82"/>
      <c r="C559" s="82"/>
    </row>
    <row r="560">
      <c r="B560" s="82"/>
      <c r="C560" s="82"/>
    </row>
    <row r="561">
      <c r="B561" s="82"/>
      <c r="C561" s="82"/>
    </row>
    <row r="562">
      <c r="B562" s="82"/>
      <c r="C562" s="82"/>
    </row>
    <row r="563">
      <c r="B563" s="82"/>
      <c r="C563" s="82"/>
    </row>
    <row r="564">
      <c r="B564" s="82"/>
      <c r="C564" s="82"/>
    </row>
    <row r="565">
      <c r="B565" s="82"/>
      <c r="C565" s="82"/>
    </row>
    <row r="566">
      <c r="B566" s="82"/>
      <c r="C566" s="82"/>
    </row>
    <row r="567">
      <c r="B567" s="82"/>
      <c r="C567" s="82"/>
    </row>
    <row r="568">
      <c r="B568" s="82"/>
      <c r="C568" s="82"/>
    </row>
    <row r="569">
      <c r="B569" s="82"/>
      <c r="C569" s="82"/>
    </row>
    <row r="570">
      <c r="B570" s="82"/>
      <c r="C570" s="82"/>
    </row>
    <row r="571">
      <c r="B571" s="82"/>
      <c r="C571" s="82"/>
    </row>
    <row r="572">
      <c r="B572" s="82"/>
      <c r="C572" s="82"/>
    </row>
    <row r="573">
      <c r="B573" s="82"/>
      <c r="C573" s="82"/>
    </row>
    <row r="574">
      <c r="B574" s="82"/>
      <c r="C574" s="82"/>
    </row>
    <row r="575">
      <c r="B575" s="82"/>
      <c r="C575" s="82"/>
    </row>
    <row r="576">
      <c r="B576" s="82"/>
      <c r="C576" s="82"/>
    </row>
    <row r="577">
      <c r="B577" s="82"/>
      <c r="C577" s="82"/>
    </row>
    <row r="578">
      <c r="B578" s="82"/>
      <c r="C578" s="82"/>
    </row>
    <row r="579">
      <c r="B579" s="82"/>
      <c r="C579" s="82"/>
    </row>
    <row r="580">
      <c r="B580" s="82"/>
      <c r="C580" s="82"/>
    </row>
    <row r="581">
      <c r="B581" s="82"/>
      <c r="C581" s="82"/>
    </row>
    <row r="582">
      <c r="B582" s="82"/>
      <c r="C582" s="82"/>
    </row>
    <row r="583">
      <c r="B583" s="82"/>
      <c r="C583" s="82"/>
    </row>
    <row r="584">
      <c r="B584" s="82"/>
      <c r="C584" s="82"/>
    </row>
    <row r="585">
      <c r="B585" s="82"/>
      <c r="C585" s="82"/>
    </row>
    <row r="586">
      <c r="B586" s="82"/>
      <c r="C586" s="82"/>
    </row>
    <row r="587">
      <c r="B587" s="82"/>
      <c r="C587" s="82"/>
    </row>
    <row r="588">
      <c r="B588" s="82"/>
      <c r="C588" s="82"/>
    </row>
    <row r="589">
      <c r="B589" s="82"/>
      <c r="C589" s="82"/>
    </row>
    <row r="590">
      <c r="B590" s="82"/>
      <c r="C590" s="82"/>
    </row>
    <row r="591">
      <c r="B591" s="82"/>
      <c r="C591" s="82"/>
    </row>
    <row r="592">
      <c r="B592" s="82"/>
      <c r="C592" s="82"/>
    </row>
    <row r="593">
      <c r="B593" s="82"/>
      <c r="C593" s="82"/>
    </row>
    <row r="594">
      <c r="B594" s="82"/>
      <c r="C594" s="82"/>
    </row>
    <row r="595">
      <c r="B595" s="82"/>
      <c r="C595" s="82"/>
    </row>
    <row r="596">
      <c r="B596" s="82"/>
      <c r="C596" s="82"/>
    </row>
    <row r="597">
      <c r="B597" s="82"/>
      <c r="C597" s="82"/>
    </row>
    <row r="598">
      <c r="B598" s="82"/>
      <c r="C598" s="82"/>
    </row>
    <row r="599">
      <c r="B599" s="82"/>
      <c r="C599" s="82"/>
    </row>
    <row r="600">
      <c r="B600" s="82"/>
      <c r="C600" s="82"/>
    </row>
    <row r="601">
      <c r="B601" s="82"/>
      <c r="C601" s="82"/>
    </row>
    <row r="602">
      <c r="B602" s="82"/>
      <c r="C602" s="82"/>
    </row>
    <row r="603">
      <c r="B603" s="82"/>
      <c r="C603" s="82"/>
    </row>
    <row r="604">
      <c r="B604" s="82"/>
      <c r="C604" s="82"/>
    </row>
    <row r="605">
      <c r="B605" s="82"/>
      <c r="C605" s="82"/>
    </row>
    <row r="606">
      <c r="B606" s="82"/>
      <c r="C606" s="82"/>
    </row>
    <row r="607">
      <c r="B607" s="82"/>
      <c r="C607" s="82"/>
    </row>
    <row r="608">
      <c r="B608" s="82"/>
      <c r="C608" s="82"/>
    </row>
    <row r="609">
      <c r="B609" s="82"/>
      <c r="C609" s="82"/>
    </row>
    <row r="610">
      <c r="B610" s="82"/>
      <c r="C610" s="82"/>
    </row>
    <row r="611">
      <c r="B611" s="82"/>
      <c r="C611" s="82"/>
    </row>
    <row r="612">
      <c r="B612" s="82"/>
      <c r="C612" s="82"/>
    </row>
    <row r="613">
      <c r="B613" s="82"/>
      <c r="C613" s="82"/>
    </row>
    <row r="614">
      <c r="B614" s="82"/>
      <c r="C614" s="82"/>
    </row>
    <row r="615">
      <c r="B615" s="82"/>
      <c r="C615" s="82"/>
    </row>
    <row r="616">
      <c r="B616" s="82"/>
      <c r="C616" s="82"/>
    </row>
    <row r="617">
      <c r="B617" s="82"/>
      <c r="C617" s="82"/>
    </row>
    <row r="618">
      <c r="B618" s="82"/>
      <c r="C618" s="82"/>
    </row>
    <row r="619">
      <c r="B619" s="82"/>
      <c r="C619" s="82"/>
    </row>
    <row r="620">
      <c r="B620" s="82"/>
      <c r="C620" s="82"/>
    </row>
    <row r="621">
      <c r="B621" s="82"/>
      <c r="C621" s="82"/>
    </row>
    <row r="622">
      <c r="B622" s="82"/>
      <c r="C622" s="82"/>
    </row>
    <row r="623">
      <c r="B623" s="82"/>
      <c r="C623" s="82"/>
    </row>
    <row r="624">
      <c r="B624" s="82"/>
      <c r="C624" s="82"/>
    </row>
    <row r="625">
      <c r="B625" s="82"/>
      <c r="C625" s="82"/>
    </row>
    <row r="626">
      <c r="B626" s="82"/>
      <c r="C626" s="82"/>
    </row>
    <row r="627">
      <c r="B627" s="82"/>
      <c r="C627" s="82"/>
    </row>
    <row r="628">
      <c r="B628" s="82"/>
      <c r="C628" s="82"/>
    </row>
    <row r="629">
      <c r="B629" s="82"/>
      <c r="C629" s="82"/>
    </row>
    <row r="630">
      <c r="B630" s="82"/>
      <c r="C630" s="82"/>
    </row>
    <row r="631">
      <c r="B631" s="82"/>
      <c r="C631" s="82"/>
    </row>
    <row r="632">
      <c r="B632" s="82"/>
      <c r="C632" s="82"/>
    </row>
    <row r="633">
      <c r="B633" s="82"/>
      <c r="C633" s="82"/>
    </row>
    <row r="634">
      <c r="B634" s="82"/>
      <c r="C634" s="82"/>
    </row>
    <row r="635">
      <c r="B635" s="82"/>
      <c r="C635" s="82"/>
    </row>
    <row r="636">
      <c r="B636" s="82"/>
      <c r="C636" s="82"/>
    </row>
    <row r="637">
      <c r="B637" s="82"/>
      <c r="C637" s="82"/>
    </row>
    <row r="638">
      <c r="B638" s="82"/>
      <c r="C638" s="82"/>
    </row>
    <row r="639">
      <c r="B639" s="82"/>
      <c r="C639" s="82"/>
    </row>
    <row r="640">
      <c r="B640" s="82"/>
      <c r="C640" s="82"/>
    </row>
    <row r="641">
      <c r="B641" s="82"/>
      <c r="C641" s="82"/>
    </row>
    <row r="642">
      <c r="B642" s="82"/>
      <c r="C642" s="82"/>
    </row>
    <row r="643">
      <c r="B643" s="82"/>
      <c r="C643" s="82"/>
    </row>
    <row r="644">
      <c r="B644" s="82"/>
      <c r="C644" s="82"/>
    </row>
    <row r="645">
      <c r="B645" s="82"/>
      <c r="C645" s="82"/>
    </row>
    <row r="646">
      <c r="B646" s="82"/>
      <c r="C646" s="82"/>
    </row>
    <row r="647">
      <c r="B647" s="82"/>
      <c r="C647" s="82"/>
    </row>
    <row r="648">
      <c r="B648" s="82"/>
      <c r="C648" s="82"/>
    </row>
    <row r="649">
      <c r="B649" s="82"/>
      <c r="C649" s="82"/>
    </row>
    <row r="650">
      <c r="B650" s="82"/>
      <c r="C650" s="82"/>
    </row>
    <row r="651">
      <c r="B651" s="82"/>
      <c r="C651" s="82"/>
    </row>
    <row r="652">
      <c r="B652" s="82"/>
      <c r="C652" s="82"/>
    </row>
    <row r="653">
      <c r="B653" s="82"/>
      <c r="C653" s="82"/>
    </row>
    <row r="654">
      <c r="B654" s="82"/>
      <c r="C654" s="82"/>
    </row>
    <row r="655">
      <c r="B655" s="82"/>
      <c r="C655" s="82"/>
    </row>
    <row r="656">
      <c r="B656" s="82"/>
      <c r="C656" s="82"/>
    </row>
    <row r="657">
      <c r="B657" s="82"/>
      <c r="C657" s="82"/>
    </row>
    <row r="658">
      <c r="B658" s="82"/>
      <c r="C658" s="82"/>
    </row>
    <row r="659">
      <c r="B659" s="82"/>
      <c r="C659" s="82"/>
    </row>
    <row r="660">
      <c r="B660" s="82"/>
      <c r="C660" s="82"/>
    </row>
    <row r="661">
      <c r="B661" s="82"/>
      <c r="C661" s="82"/>
    </row>
    <row r="662">
      <c r="B662" s="82"/>
      <c r="C662" s="82"/>
    </row>
    <row r="663">
      <c r="B663" s="82"/>
      <c r="C663" s="82"/>
    </row>
    <row r="664">
      <c r="B664" s="82"/>
      <c r="C664" s="82"/>
    </row>
    <row r="665">
      <c r="B665" s="82"/>
      <c r="C665" s="82"/>
    </row>
    <row r="666">
      <c r="B666" s="82"/>
      <c r="C666" s="82"/>
    </row>
    <row r="667">
      <c r="B667" s="82"/>
      <c r="C667" s="82"/>
    </row>
    <row r="668">
      <c r="B668" s="82"/>
      <c r="C668" s="82"/>
    </row>
    <row r="669">
      <c r="B669" s="82"/>
      <c r="C669" s="82"/>
    </row>
    <row r="670">
      <c r="B670" s="82"/>
      <c r="C670" s="82"/>
    </row>
    <row r="671">
      <c r="B671" s="82"/>
      <c r="C671" s="82"/>
    </row>
    <row r="672">
      <c r="B672" s="82"/>
      <c r="C672" s="82"/>
    </row>
    <row r="673">
      <c r="B673" s="82"/>
      <c r="C673" s="82"/>
    </row>
    <row r="674">
      <c r="B674" s="82"/>
      <c r="C674" s="82"/>
    </row>
    <row r="675">
      <c r="B675" s="82"/>
      <c r="C675" s="82"/>
    </row>
    <row r="676">
      <c r="B676" s="82"/>
      <c r="C676" s="82"/>
    </row>
    <row r="677">
      <c r="B677" s="82"/>
      <c r="C677" s="82"/>
    </row>
    <row r="678">
      <c r="B678" s="82"/>
      <c r="C678" s="82"/>
    </row>
    <row r="679">
      <c r="B679" s="82"/>
      <c r="C679" s="82"/>
    </row>
    <row r="680">
      <c r="B680" s="82"/>
      <c r="C680" s="82"/>
    </row>
    <row r="681">
      <c r="B681" s="82"/>
      <c r="C681" s="82"/>
    </row>
    <row r="682">
      <c r="B682" s="82"/>
      <c r="C682" s="82"/>
    </row>
    <row r="683">
      <c r="B683" s="82"/>
      <c r="C683" s="82"/>
    </row>
    <row r="684">
      <c r="B684" s="82"/>
      <c r="C684" s="82"/>
    </row>
    <row r="685">
      <c r="B685" s="82"/>
      <c r="C685" s="82"/>
    </row>
    <row r="686">
      <c r="B686" s="82"/>
      <c r="C686" s="82"/>
    </row>
    <row r="687">
      <c r="B687" s="82"/>
      <c r="C687" s="82"/>
    </row>
    <row r="688">
      <c r="B688" s="82"/>
      <c r="C688" s="82"/>
    </row>
    <row r="689">
      <c r="B689" s="82"/>
      <c r="C689" s="82"/>
    </row>
    <row r="690">
      <c r="B690" s="82"/>
      <c r="C690" s="82"/>
    </row>
    <row r="691">
      <c r="B691" s="82"/>
      <c r="C691" s="82"/>
    </row>
    <row r="692">
      <c r="B692" s="82"/>
      <c r="C692" s="82"/>
    </row>
    <row r="693">
      <c r="B693" s="82"/>
      <c r="C693" s="82"/>
    </row>
    <row r="694">
      <c r="B694" s="82"/>
      <c r="C694" s="82"/>
    </row>
    <row r="695">
      <c r="B695" s="82"/>
      <c r="C695" s="82"/>
    </row>
    <row r="696">
      <c r="B696" s="82"/>
      <c r="C696" s="82"/>
    </row>
    <row r="697">
      <c r="B697" s="82"/>
      <c r="C697" s="82"/>
    </row>
    <row r="698">
      <c r="B698" s="82"/>
      <c r="C698" s="82"/>
    </row>
    <row r="699">
      <c r="B699" s="82"/>
      <c r="C699" s="82"/>
    </row>
    <row r="700">
      <c r="B700" s="82"/>
      <c r="C700" s="82"/>
    </row>
    <row r="701">
      <c r="B701" s="82"/>
      <c r="C701" s="82"/>
    </row>
    <row r="702">
      <c r="B702" s="82"/>
      <c r="C702" s="82"/>
    </row>
    <row r="703">
      <c r="B703" s="82"/>
      <c r="C703" s="82"/>
    </row>
    <row r="704">
      <c r="B704" s="82"/>
      <c r="C704" s="82"/>
    </row>
    <row r="705">
      <c r="B705" s="82"/>
      <c r="C705" s="82"/>
    </row>
    <row r="706">
      <c r="B706" s="82"/>
      <c r="C706" s="82"/>
    </row>
    <row r="707">
      <c r="B707" s="82"/>
      <c r="C707" s="82"/>
    </row>
    <row r="708">
      <c r="B708" s="82"/>
      <c r="C708" s="82"/>
    </row>
    <row r="709">
      <c r="B709" s="82"/>
      <c r="C709" s="82"/>
    </row>
    <row r="710">
      <c r="B710" s="82"/>
      <c r="C710" s="82"/>
    </row>
    <row r="711">
      <c r="B711" s="82"/>
      <c r="C711" s="82"/>
    </row>
    <row r="712">
      <c r="B712" s="82"/>
      <c r="C712" s="82"/>
    </row>
    <row r="713">
      <c r="B713" s="82"/>
      <c r="C713" s="82"/>
    </row>
    <row r="714">
      <c r="B714" s="82"/>
      <c r="C714" s="82"/>
    </row>
    <row r="715">
      <c r="B715" s="82"/>
      <c r="C715" s="82"/>
    </row>
    <row r="716">
      <c r="B716" s="82"/>
      <c r="C716" s="82"/>
    </row>
    <row r="717">
      <c r="B717" s="82"/>
      <c r="C717" s="82"/>
    </row>
    <row r="718">
      <c r="B718" s="82"/>
      <c r="C718" s="82"/>
    </row>
    <row r="719">
      <c r="B719" s="82"/>
      <c r="C719" s="82"/>
    </row>
    <row r="720">
      <c r="B720" s="82"/>
      <c r="C720" s="82"/>
    </row>
    <row r="721">
      <c r="B721" s="82"/>
      <c r="C721" s="82"/>
    </row>
    <row r="722">
      <c r="B722" s="82"/>
      <c r="C722" s="82"/>
    </row>
    <row r="723">
      <c r="B723" s="82"/>
      <c r="C723" s="82"/>
    </row>
    <row r="724">
      <c r="B724" s="82"/>
      <c r="C724" s="82"/>
    </row>
    <row r="725">
      <c r="B725" s="82"/>
      <c r="C725" s="82"/>
    </row>
    <row r="726">
      <c r="B726" s="82"/>
      <c r="C726" s="82"/>
    </row>
    <row r="727">
      <c r="B727" s="82"/>
      <c r="C727" s="82"/>
    </row>
    <row r="728">
      <c r="B728" s="82"/>
      <c r="C728" s="82"/>
    </row>
    <row r="729">
      <c r="B729" s="82"/>
      <c r="C729" s="82"/>
    </row>
    <row r="730">
      <c r="B730" s="82"/>
      <c r="C730" s="82"/>
    </row>
    <row r="731">
      <c r="B731" s="82"/>
      <c r="C731" s="82"/>
    </row>
    <row r="732">
      <c r="B732" s="82"/>
      <c r="C732" s="82"/>
    </row>
    <row r="733">
      <c r="B733" s="82"/>
      <c r="C733" s="82"/>
    </row>
    <row r="734">
      <c r="B734" s="82"/>
      <c r="C734" s="82"/>
    </row>
    <row r="735">
      <c r="B735" s="82"/>
      <c r="C735" s="82"/>
    </row>
    <row r="736">
      <c r="B736" s="82"/>
      <c r="C736" s="82"/>
    </row>
    <row r="737">
      <c r="B737" s="82"/>
      <c r="C737" s="82"/>
    </row>
    <row r="738">
      <c r="B738" s="82"/>
      <c r="C738" s="82"/>
    </row>
    <row r="739">
      <c r="B739" s="82"/>
      <c r="C739" s="82"/>
    </row>
    <row r="740">
      <c r="B740" s="82"/>
      <c r="C740" s="82"/>
    </row>
    <row r="741">
      <c r="B741" s="82"/>
      <c r="C741" s="82"/>
    </row>
    <row r="742">
      <c r="B742" s="82"/>
      <c r="C742" s="82"/>
    </row>
    <row r="743">
      <c r="B743" s="82"/>
      <c r="C743" s="82"/>
    </row>
    <row r="744">
      <c r="B744" s="82"/>
      <c r="C744" s="82"/>
    </row>
    <row r="745">
      <c r="B745" s="82"/>
      <c r="C745" s="82"/>
    </row>
    <row r="746">
      <c r="B746" s="82"/>
      <c r="C746" s="82"/>
    </row>
    <row r="747">
      <c r="B747" s="82"/>
      <c r="C747" s="82"/>
    </row>
    <row r="748">
      <c r="B748" s="82"/>
      <c r="C748" s="82"/>
    </row>
    <row r="749">
      <c r="B749" s="82"/>
      <c r="C749" s="82"/>
    </row>
    <row r="750">
      <c r="B750" s="82"/>
      <c r="C750" s="82"/>
    </row>
    <row r="751">
      <c r="B751" s="82"/>
      <c r="C751" s="82"/>
    </row>
    <row r="752">
      <c r="B752" s="82"/>
      <c r="C752" s="82"/>
    </row>
    <row r="753">
      <c r="B753" s="82"/>
      <c r="C753" s="82"/>
    </row>
    <row r="754">
      <c r="B754" s="82"/>
      <c r="C754" s="82"/>
    </row>
    <row r="755">
      <c r="B755" s="82"/>
      <c r="C755" s="82"/>
    </row>
    <row r="756">
      <c r="B756" s="82"/>
      <c r="C756" s="82"/>
    </row>
    <row r="757">
      <c r="B757" s="82"/>
      <c r="C757" s="82"/>
    </row>
    <row r="758">
      <c r="B758" s="82"/>
      <c r="C758" s="82"/>
    </row>
    <row r="759">
      <c r="B759" s="82"/>
      <c r="C759" s="82"/>
    </row>
    <row r="760">
      <c r="B760" s="82"/>
      <c r="C760" s="82"/>
    </row>
    <row r="761">
      <c r="B761" s="82"/>
      <c r="C761" s="82"/>
    </row>
    <row r="762">
      <c r="B762" s="82"/>
      <c r="C762" s="82"/>
    </row>
    <row r="763">
      <c r="B763" s="82"/>
      <c r="C763" s="82"/>
    </row>
    <row r="764">
      <c r="B764" s="82"/>
      <c r="C764" s="82"/>
    </row>
    <row r="765">
      <c r="B765" s="82"/>
      <c r="C765" s="82"/>
    </row>
    <row r="766">
      <c r="B766" s="82"/>
      <c r="C766" s="82"/>
    </row>
    <row r="767">
      <c r="B767" s="82"/>
      <c r="C767" s="82"/>
    </row>
    <row r="768">
      <c r="B768" s="82"/>
      <c r="C768" s="82"/>
    </row>
    <row r="769">
      <c r="B769" s="82"/>
      <c r="C769" s="82"/>
    </row>
    <row r="770">
      <c r="B770" s="82"/>
      <c r="C770" s="82"/>
    </row>
    <row r="771">
      <c r="B771" s="82"/>
      <c r="C771" s="82"/>
    </row>
    <row r="772">
      <c r="B772" s="82"/>
      <c r="C772" s="82"/>
    </row>
    <row r="773">
      <c r="B773" s="82"/>
      <c r="C773" s="82"/>
    </row>
    <row r="774">
      <c r="B774" s="82"/>
      <c r="C774" s="82"/>
    </row>
    <row r="775">
      <c r="B775" s="82"/>
      <c r="C775" s="82"/>
    </row>
    <row r="776">
      <c r="B776" s="82"/>
      <c r="C776" s="82"/>
    </row>
    <row r="777">
      <c r="B777" s="82"/>
      <c r="C777" s="82"/>
    </row>
    <row r="778">
      <c r="B778" s="82"/>
      <c r="C778" s="82"/>
    </row>
    <row r="779">
      <c r="B779" s="82"/>
      <c r="C779" s="82"/>
    </row>
    <row r="780">
      <c r="B780" s="82"/>
      <c r="C780" s="82"/>
    </row>
    <row r="781">
      <c r="B781" s="82"/>
      <c r="C781" s="82"/>
    </row>
    <row r="782">
      <c r="B782" s="82"/>
      <c r="C782" s="82"/>
    </row>
    <row r="783">
      <c r="B783" s="82"/>
      <c r="C783" s="82"/>
    </row>
    <row r="784">
      <c r="B784" s="82"/>
      <c r="C784" s="82"/>
    </row>
    <row r="785">
      <c r="B785" s="82"/>
      <c r="C785" s="82"/>
    </row>
    <row r="786">
      <c r="B786" s="82"/>
      <c r="C786" s="82"/>
    </row>
    <row r="787">
      <c r="B787" s="82"/>
      <c r="C787" s="82"/>
    </row>
    <row r="788">
      <c r="B788" s="82"/>
      <c r="C788" s="82"/>
    </row>
    <row r="789">
      <c r="B789" s="82"/>
      <c r="C789" s="82"/>
    </row>
    <row r="790">
      <c r="B790" s="82"/>
      <c r="C790" s="82"/>
    </row>
    <row r="791">
      <c r="B791" s="82"/>
      <c r="C791" s="82"/>
    </row>
    <row r="792">
      <c r="B792" s="82"/>
      <c r="C792" s="82"/>
    </row>
    <row r="793">
      <c r="B793" s="82"/>
      <c r="C793" s="82"/>
    </row>
    <row r="794">
      <c r="B794" s="82"/>
      <c r="C794" s="82"/>
    </row>
    <row r="795">
      <c r="B795" s="82"/>
      <c r="C795" s="82"/>
    </row>
    <row r="796">
      <c r="B796" s="82"/>
      <c r="C796" s="82"/>
    </row>
    <row r="797">
      <c r="B797" s="82"/>
      <c r="C797" s="82"/>
    </row>
    <row r="798">
      <c r="B798" s="82"/>
      <c r="C798" s="82"/>
    </row>
    <row r="799">
      <c r="B799" s="82"/>
      <c r="C799" s="82"/>
    </row>
    <row r="800">
      <c r="B800" s="82"/>
      <c r="C800" s="82"/>
    </row>
    <row r="801">
      <c r="B801" s="82"/>
      <c r="C801" s="82"/>
    </row>
    <row r="802">
      <c r="B802" s="82"/>
      <c r="C802" s="82"/>
    </row>
    <row r="803">
      <c r="B803" s="82"/>
      <c r="C803" s="82"/>
    </row>
    <row r="804">
      <c r="B804" s="82"/>
      <c r="C804" s="82"/>
    </row>
    <row r="805">
      <c r="B805" s="82"/>
      <c r="C805" s="82"/>
    </row>
    <row r="806">
      <c r="B806" s="82"/>
      <c r="C806" s="82"/>
    </row>
    <row r="807">
      <c r="B807" s="82"/>
      <c r="C807" s="82"/>
    </row>
    <row r="808">
      <c r="B808" s="82"/>
      <c r="C808" s="82"/>
    </row>
    <row r="809">
      <c r="B809" s="82"/>
      <c r="C809" s="82"/>
    </row>
    <row r="810">
      <c r="B810" s="82"/>
      <c r="C810" s="82"/>
    </row>
    <row r="811">
      <c r="B811" s="82"/>
      <c r="C811" s="82"/>
    </row>
    <row r="812">
      <c r="B812" s="82"/>
      <c r="C812" s="82"/>
    </row>
    <row r="813">
      <c r="B813" s="82"/>
      <c r="C813" s="82"/>
    </row>
    <row r="814">
      <c r="B814" s="82"/>
      <c r="C814" s="82"/>
    </row>
    <row r="815">
      <c r="B815" s="82"/>
      <c r="C815" s="82"/>
    </row>
    <row r="816">
      <c r="B816" s="82"/>
      <c r="C816" s="82"/>
    </row>
    <row r="817">
      <c r="B817" s="82"/>
      <c r="C817" s="82"/>
    </row>
    <row r="818">
      <c r="B818" s="82"/>
      <c r="C818" s="82"/>
    </row>
    <row r="819">
      <c r="B819" s="82"/>
      <c r="C819" s="82"/>
    </row>
    <row r="820">
      <c r="B820" s="82"/>
      <c r="C820" s="82"/>
    </row>
    <row r="821">
      <c r="B821" s="82"/>
      <c r="C821" s="82"/>
    </row>
    <row r="822">
      <c r="B822" s="82"/>
      <c r="C822" s="82"/>
    </row>
    <row r="823">
      <c r="B823" s="82"/>
      <c r="C823" s="82"/>
    </row>
    <row r="824">
      <c r="B824" s="82"/>
      <c r="C824" s="82"/>
    </row>
    <row r="825">
      <c r="B825" s="82"/>
      <c r="C825" s="82"/>
    </row>
    <row r="826">
      <c r="B826" s="82"/>
      <c r="C826" s="82"/>
    </row>
    <row r="827">
      <c r="B827" s="82"/>
      <c r="C827" s="82"/>
    </row>
    <row r="828">
      <c r="B828" s="82"/>
      <c r="C828" s="82"/>
    </row>
    <row r="829">
      <c r="B829" s="82"/>
      <c r="C829" s="82"/>
    </row>
    <row r="830">
      <c r="B830" s="82"/>
      <c r="C830" s="82"/>
    </row>
    <row r="831">
      <c r="B831" s="82"/>
      <c r="C831" s="82"/>
    </row>
    <row r="832">
      <c r="B832" s="82"/>
      <c r="C832" s="82"/>
    </row>
    <row r="833">
      <c r="B833" s="82"/>
      <c r="C833" s="82"/>
    </row>
    <row r="834">
      <c r="B834" s="82"/>
      <c r="C834" s="82"/>
    </row>
    <row r="835">
      <c r="B835" s="82"/>
      <c r="C835" s="82"/>
    </row>
    <row r="836">
      <c r="B836" s="82"/>
      <c r="C836" s="82"/>
    </row>
    <row r="837">
      <c r="B837" s="82"/>
      <c r="C837" s="82"/>
    </row>
    <row r="838">
      <c r="B838" s="82"/>
      <c r="C838" s="82"/>
    </row>
    <row r="839">
      <c r="B839" s="82"/>
      <c r="C839" s="82"/>
    </row>
    <row r="840">
      <c r="B840" s="82"/>
      <c r="C840" s="82"/>
    </row>
    <row r="841">
      <c r="B841" s="82"/>
      <c r="C841" s="82"/>
    </row>
    <row r="842">
      <c r="B842" s="82"/>
      <c r="C842" s="82"/>
    </row>
    <row r="843">
      <c r="B843" s="82"/>
      <c r="C843" s="82"/>
    </row>
    <row r="844">
      <c r="B844" s="82"/>
      <c r="C844" s="82"/>
    </row>
    <row r="845">
      <c r="B845" s="82"/>
      <c r="C845" s="82"/>
    </row>
    <row r="846">
      <c r="B846" s="82"/>
      <c r="C846" s="82"/>
    </row>
    <row r="847">
      <c r="B847" s="82"/>
      <c r="C847" s="82"/>
    </row>
    <row r="848">
      <c r="B848" s="82"/>
      <c r="C848" s="82"/>
    </row>
    <row r="849">
      <c r="B849" s="82"/>
      <c r="C849" s="82"/>
    </row>
    <row r="850">
      <c r="B850" s="82"/>
      <c r="C850" s="82"/>
    </row>
    <row r="851">
      <c r="B851" s="82"/>
      <c r="C851" s="82"/>
    </row>
    <row r="852">
      <c r="B852" s="82"/>
      <c r="C852" s="82"/>
    </row>
    <row r="853">
      <c r="B853" s="82"/>
      <c r="C853" s="82"/>
    </row>
    <row r="854">
      <c r="B854" s="82"/>
      <c r="C854" s="82"/>
    </row>
    <row r="855">
      <c r="B855" s="82"/>
      <c r="C855" s="82"/>
    </row>
    <row r="856">
      <c r="B856" s="82"/>
      <c r="C856" s="82"/>
    </row>
    <row r="857">
      <c r="B857" s="82"/>
      <c r="C857" s="82"/>
    </row>
    <row r="858">
      <c r="B858" s="82"/>
      <c r="C858" s="82"/>
    </row>
    <row r="859">
      <c r="B859" s="82"/>
      <c r="C859" s="82"/>
    </row>
    <row r="860">
      <c r="B860" s="82"/>
      <c r="C860" s="82"/>
    </row>
    <row r="861">
      <c r="B861" s="82"/>
      <c r="C861" s="82"/>
    </row>
    <row r="862">
      <c r="B862" s="82"/>
      <c r="C862" s="82"/>
    </row>
    <row r="863">
      <c r="B863" s="82"/>
      <c r="C863" s="82"/>
    </row>
    <row r="864">
      <c r="B864" s="82"/>
      <c r="C864" s="82"/>
    </row>
    <row r="865">
      <c r="B865" s="82"/>
      <c r="C865" s="82"/>
    </row>
    <row r="866">
      <c r="B866" s="82"/>
      <c r="C866" s="82"/>
    </row>
    <row r="867">
      <c r="B867" s="82"/>
      <c r="C867" s="82"/>
    </row>
    <row r="868">
      <c r="B868" s="82"/>
      <c r="C868" s="82"/>
    </row>
    <row r="869">
      <c r="B869" s="82"/>
      <c r="C869" s="82"/>
    </row>
    <row r="870">
      <c r="B870" s="82"/>
      <c r="C870" s="82"/>
    </row>
    <row r="871">
      <c r="B871" s="82"/>
      <c r="C871" s="82"/>
    </row>
    <row r="872">
      <c r="B872" s="82"/>
      <c r="C872" s="82"/>
    </row>
    <row r="873">
      <c r="B873" s="82"/>
      <c r="C873" s="82"/>
    </row>
    <row r="874">
      <c r="B874" s="82"/>
      <c r="C874" s="82"/>
    </row>
    <row r="875">
      <c r="B875" s="82"/>
      <c r="C875" s="82"/>
    </row>
    <row r="876">
      <c r="B876" s="82"/>
      <c r="C876" s="82"/>
    </row>
    <row r="877">
      <c r="B877" s="82"/>
      <c r="C877" s="82"/>
    </row>
    <row r="878">
      <c r="B878" s="82"/>
      <c r="C878" s="82"/>
    </row>
    <row r="879">
      <c r="B879" s="82"/>
      <c r="C879" s="82"/>
    </row>
    <row r="880">
      <c r="B880" s="82"/>
      <c r="C880" s="82"/>
    </row>
    <row r="881">
      <c r="B881" s="82"/>
      <c r="C881" s="82"/>
    </row>
    <row r="882">
      <c r="B882" s="82"/>
      <c r="C882" s="82"/>
    </row>
    <row r="883">
      <c r="B883" s="82"/>
      <c r="C883" s="82"/>
    </row>
    <row r="884">
      <c r="B884" s="82"/>
      <c r="C884" s="82"/>
    </row>
    <row r="885">
      <c r="B885" s="82"/>
      <c r="C885" s="82"/>
    </row>
    <row r="886">
      <c r="B886" s="82"/>
      <c r="C886" s="82"/>
    </row>
    <row r="887">
      <c r="B887" s="82"/>
      <c r="C887" s="82"/>
    </row>
    <row r="888">
      <c r="B888" s="82"/>
      <c r="C888" s="82"/>
    </row>
    <row r="889">
      <c r="B889" s="82"/>
      <c r="C889" s="82"/>
    </row>
    <row r="890">
      <c r="B890" s="82"/>
      <c r="C890" s="82"/>
    </row>
    <row r="891">
      <c r="B891" s="82"/>
      <c r="C891" s="82"/>
    </row>
    <row r="892">
      <c r="B892" s="82"/>
      <c r="C892" s="82"/>
    </row>
    <row r="893">
      <c r="B893" s="82"/>
      <c r="C893" s="82"/>
    </row>
    <row r="894">
      <c r="B894" s="82"/>
      <c r="C894" s="82"/>
    </row>
    <row r="895">
      <c r="B895" s="82"/>
      <c r="C895" s="82"/>
    </row>
    <row r="896">
      <c r="B896" s="82"/>
      <c r="C896" s="82"/>
    </row>
    <row r="897">
      <c r="B897" s="82"/>
      <c r="C897" s="82"/>
    </row>
    <row r="898">
      <c r="B898" s="82"/>
      <c r="C898" s="82"/>
    </row>
    <row r="899">
      <c r="B899" s="82"/>
      <c r="C899" s="82"/>
    </row>
    <row r="900">
      <c r="B900" s="82"/>
      <c r="C900" s="82"/>
    </row>
    <row r="901">
      <c r="B901" s="82"/>
      <c r="C901" s="82"/>
    </row>
    <row r="902">
      <c r="B902" s="82"/>
      <c r="C902" s="82"/>
    </row>
    <row r="903">
      <c r="B903" s="82"/>
      <c r="C903" s="82"/>
    </row>
    <row r="904">
      <c r="B904" s="82"/>
      <c r="C904" s="82"/>
    </row>
    <row r="905">
      <c r="B905" s="82"/>
      <c r="C905" s="82"/>
    </row>
    <row r="906">
      <c r="B906" s="82"/>
      <c r="C906" s="82"/>
    </row>
    <row r="907">
      <c r="B907" s="82"/>
      <c r="C907" s="82"/>
    </row>
    <row r="908">
      <c r="B908" s="82"/>
      <c r="C908" s="82"/>
    </row>
    <row r="909">
      <c r="B909" s="82"/>
      <c r="C909" s="82"/>
    </row>
    <row r="910">
      <c r="B910" s="82"/>
      <c r="C910" s="82"/>
    </row>
    <row r="911">
      <c r="B911" s="82"/>
      <c r="C911" s="82"/>
    </row>
    <row r="912">
      <c r="B912" s="82"/>
      <c r="C912" s="82"/>
    </row>
    <row r="913">
      <c r="B913" s="82"/>
      <c r="C913" s="82"/>
    </row>
    <row r="914">
      <c r="B914" s="82"/>
      <c r="C914" s="82"/>
    </row>
    <row r="915">
      <c r="B915" s="82"/>
      <c r="C915" s="82"/>
    </row>
    <row r="916">
      <c r="B916" s="82"/>
      <c r="C916" s="82"/>
    </row>
    <row r="917">
      <c r="B917" s="82"/>
      <c r="C917" s="82"/>
    </row>
    <row r="918">
      <c r="B918" s="82"/>
      <c r="C918" s="82"/>
    </row>
    <row r="919">
      <c r="B919" s="82"/>
      <c r="C919" s="82"/>
    </row>
    <row r="920">
      <c r="B920" s="82"/>
      <c r="C920" s="82"/>
    </row>
    <row r="921">
      <c r="B921" s="82"/>
      <c r="C921" s="82"/>
    </row>
    <row r="922">
      <c r="B922" s="82"/>
      <c r="C922" s="82"/>
    </row>
    <row r="923">
      <c r="B923" s="82"/>
      <c r="C923" s="82"/>
    </row>
    <row r="924">
      <c r="B924" s="82"/>
      <c r="C924" s="82"/>
    </row>
    <row r="925">
      <c r="B925" s="82"/>
      <c r="C925" s="82"/>
    </row>
    <row r="926">
      <c r="B926" s="82"/>
      <c r="C926" s="82"/>
    </row>
    <row r="927">
      <c r="B927" s="82"/>
      <c r="C927" s="82"/>
    </row>
    <row r="928">
      <c r="B928" s="82"/>
      <c r="C928" s="82"/>
    </row>
    <row r="929">
      <c r="B929" s="82"/>
      <c r="C929" s="82"/>
    </row>
    <row r="930">
      <c r="B930" s="82"/>
      <c r="C930" s="82"/>
    </row>
    <row r="931">
      <c r="B931" s="82"/>
      <c r="C931" s="82"/>
    </row>
    <row r="932">
      <c r="B932" s="82"/>
      <c r="C932" s="82"/>
    </row>
    <row r="933">
      <c r="B933" s="82"/>
      <c r="C933" s="82"/>
    </row>
    <row r="934">
      <c r="B934" s="82"/>
      <c r="C934" s="82"/>
    </row>
    <row r="935">
      <c r="B935" s="82"/>
      <c r="C935" s="82"/>
    </row>
    <row r="936">
      <c r="B936" s="82"/>
      <c r="C936" s="82"/>
    </row>
    <row r="937">
      <c r="B937" s="82"/>
      <c r="C937" s="82"/>
    </row>
    <row r="938">
      <c r="B938" s="82"/>
      <c r="C938" s="82"/>
    </row>
    <row r="939">
      <c r="B939" s="82"/>
      <c r="C939" s="82"/>
    </row>
    <row r="940">
      <c r="B940" s="82"/>
      <c r="C940" s="82"/>
    </row>
    <row r="941">
      <c r="B941" s="82"/>
      <c r="C941" s="82"/>
    </row>
    <row r="942">
      <c r="B942" s="82"/>
      <c r="C942" s="82"/>
    </row>
    <row r="943">
      <c r="B943" s="82"/>
      <c r="C943" s="82"/>
    </row>
    <row r="944">
      <c r="B944" s="82"/>
      <c r="C944" s="82"/>
    </row>
    <row r="945">
      <c r="B945" s="82"/>
      <c r="C945" s="82"/>
    </row>
    <row r="946">
      <c r="B946" s="82"/>
      <c r="C946" s="82"/>
    </row>
    <row r="947">
      <c r="B947" s="82"/>
      <c r="C947" s="82"/>
    </row>
    <row r="948">
      <c r="B948" s="82"/>
      <c r="C948" s="82"/>
    </row>
    <row r="949">
      <c r="B949" s="82"/>
      <c r="C949" s="82"/>
    </row>
    <row r="950">
      <c r="B950" s="82"/>
      <c r="C950" s="82"/>
    </row>
    <row r="951">
      <c r="B951" s="82"/>
      <c r="C951" s="82"/>
    </row>
    <row r="952">
      <c r="B952" s="82"/>
      <c r="C952" s="82"/>
    </row>
    <row r="953">
      <c r="B953" s="82"/>
      <c r="C953" s="82"/>
    </row>
    <row r="954">
      <c r="B954" s="82"/>
      <c r="C954" s="82"/>
    </row>
    <row r="955">
      <c r="B955" s="82"/>
      <c r="C955" s="82"/>
    </row>
    <row r="956">
      <c r="B956" s="82"/>
      <c r="C956" s="82"/>
    </row>
    <row r="957">
      <c r="B957" s="82"/>
      <c r="C957" s="82"/>
    </row>
    <row r="958">
      <c r="B958" s="82"/>
      <c r="C958" s="82"/>
    </row>
    <row r="959">
      <c r="B959" s="82"/>
      <c r="C959" s="82"/>
    </row>
    <row r="960">
      <c r="B960" s="82"/>
      <c r="C960" s="82"/>
    </row>
    <row r="961">
      <c r="B961" s="82"/>
      <c r="C961" s="82"/>
    </row>
    <row r="962">
      <c r="B962" s="82"/>
      <c r="C962" s="82"/>
    </row>
    <row r="963">
      <c r="B963" s="82"/>
      <c r="C963" s="82"/>
    </row>
    <row r="964">
      <c r="B964" s="82"/>
      <c r="C964" s="82"/>
    </row>
    <row r="965">
      <c r="B965" s="82"/>
      <c r="C965" s="82"/>
    </row>
    <row r="966">
      <c r="B966" s="82"/>
      <c r="C966" s="82"/>
    </row>
    <row r="967">
      <c r="B967" s="82"/>
      <c r="C967" s="82"/>
    </row>
    <row r="968">
      <c r="B968" s="82"/>
      <c r="C968" s="82"/>
    </row>
    <row r="969">
      <c r="B969" s="82"/>
      <c r="C969" s="82"/>
    </row>
    <row r="970">
      <c r="B970" s="82"/>
      <c r="C970" s="82"/>
    </row>
    <row r="971">
      <c r="B971" s="82"/>
      <c r="C971" s="82"/>
    </row>
    <row r="972">
      <c r="B972" s="82"/>
      <c r="C972" s="82"/>
    </row>
    <row r="973">
      <c r="B973" s="82"/>
      <c r="C973" s="82"/>
    </row>
    <row r="974">
      <c r="B974" s="82"/>
      <c r="C974" s="82"/>
    </row>
    <row r="975">
      <c r="B975" s="82"/>
      <c r="C975" s="82"/>
    </row>
    <row r="976">
      <c r="B976" s="82"/>
      <c r="C976" s="82"/>
    </row>
    <row r="977">
      <c r="B977" s="82"/>
      <c r="C977" s="82"/>
    </row>
    <row r="978">
      <c r="B978" s="82"/>
      <c r="C978" s="82"/>
    </row>
    <row r="979">
      <c r="B979" s="82"/>
      <c r="C979" s="82"/>
    </row>
    <row r="980">
      <c r="B980" s="82"/>
      <c r="C980" s="82"/>
    </row>
    <row r="981">
      <c r="B981" s="82"/>
      <c r="C981" s="82"/>
    </row>
    <row r="982">
      <c r="B982" s="82"/>
      <c r="C982" s="82"/>
    </row>
    <row r="983">
      <c r="B983" s="82"/>
      <c r="C983" s="82"/>
    </row>
    <row r="984">
      <c r="B984" s="82"/>
      <c r="C984" s="82"/>
    </row>
    <row r="985">
      <c r="B985" s="82"/>
      <c r="C985" s="82"/>
    </row>
    <row r="986">
      <c r="B986" s="82"/>
      <c r="C986" s="82"/>
    </row>
    <row r="987">
      <c r="B987" s="82"/>
      <c r="C987" s="82"/>
    </row>
    <row r="988">
      <c r="B988" s="82"/>
      <c r="C988" s="82"/>
    </row>
    <row r="989">
      <c r="B989" s="82"/>
      <c r="C989" s="82"/>
    </row>
    <row r="990">
      <c r="B990" s="82"/>
      <c r="C990" s="82"/>
    </row>
    <row r="991">
      <c r="B991" s="82"/>
      <c r="C991" s="82"/>
    </row>
    <row r="992">
      <c r="B992" s="82"/>
      <c r="C992" s="82"/>
    </row>
    <row r="993">
      <c r="B993" s="82"/>
      <c r="C993" s="82"/>
    </row>
    <row r="994">
      <c r="B994" s="82"/>
      <c r="C994" s="82"/>
    </row>
    <row r="995">
      <c r="B995" s="82"/>
      <c r="C995" s="82"/>
    </row>
    <row r="996">
      <c r="B996" s="82"/>
      <c r="C996" s="82"/>
    </row>
    <row r="997">
      <c r="B997" s="82"/>
      <c r="C997" s="82"/>
    </row>
    <row r="998">
      <c r="B998" s="82"/>
      <c r="C998" s="82"/>
    </row>
    <row r="999">
      <c r="B999" s="82"/>
      <c r="C999" s="82"/>
    </row>
    <row r="1000">
      <c r="B1000" s="82"/>
      <c r="C1000" s="82"/>
    </row>
    <row r="1001">
      <c r="B1001" s="82"/>
      <c r="C1001" s="82"/>
    </row>
    <row r="1002">
      <c r="B1002" s="82"/>
      <c r="C1002" s="82"/>
    </row>
    <row r="1003">
      <c r="B1003" s="82"/>
      <c r="C1003" s="82"/>
    </row>
    <row r="1004">
      <c r="B1004" s="82"/>
      <c r="C1004" s="82"/>
    </row>
    <row r="1005">
      <c r="B1005" s="82"/>
      <c r="C1005" s="82"/>
    </row>
    <row r="1006">
      <c r="B1006" s="82"/>
      <c r="C1006" s="82"/>
    </row>
    <row r="1007">
      <c r="B1007" s="82"/>
      <c r="C1007" s="82"/>
    </row>
    <row r="1008">
      <c r="B1008" s="82"/>
      <c r="C1008" s="82"/>
    </row>
  </sheetData>
  <mergeCells count="1">
    <mergeCell ref="A1:J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1.0"/>
    <col customWidth="1" min="5" max="6" width="6.13"/>
    <col customWidth="1" min="10" max="10" width="47.75"/>
  </cols>
  <sheetData>
    <row r="1">
      <c r="A1" s="179" t="s">
        <v>196</v>
      </c>
    </row>
    <row r="2">
      <c r="A2" s="167"/>
      <c r="B2" s="159"/>
      <c r="C2" s="160"/>
      <c r="G2" s="168"/>
      <c r="L2" s="163">
        <v>29000.0</v>
      </c>
    </row>
    <row r="3">
      <c r="A3" s="167" t="s">
        <v>180</v>
      </c>
      <c r="B3" s="159"/>
      <c r="C3" s="160"/>
      <c r="G3" s="168" t="s">
        <v>181</v>
      </c>
      <c r="K3" s="180" t="s">
        <v>197</v>
      </c>
    </row>
    <row r="4">
      <c r="B4" s="169">
        <f t="shared" ref="B4:C4" si="1">SUM(B6:B8)</f>
        <v>1</v>
      </c>
      <c r="C4" s="155">
        <f t="shared" si="1"/>
        <v>27500</v>
      </c>
      <c r="G4" s="40"/>
      <c r="H4" s="170">
        <f t="shared" ref="H4:I4" si="2">SUM(H6:H17)</f>
        <v>1</v>
      </c>
      <c r="I4" s="160">
        <f t="shared" si="2"/>
        <v>27500</v>
      </c>
      <c r="K4" s="170">
        <f t="shared" ref="K4:L4" si="3">SUM(K6:K17)</f>
        <v>1</v>
      </c>
      <c r="L4" s="160">
        <f t="shared" si="3"/>
        <v>29000</v>
      </c>
    </row>
    <row r="5">
      <c r="A5" s="171" t="s">
        <v>182</v>
      </c>
      <c r="B5" s="171" t="s">
        <v>183</v>
      </c>
      <c r="C5" s="171" t="s">
        <v>198</v>
      </c>
      <c r="D5" s="171" t="s">
        <v>199</v>
      </c>
      <c r="G5" s="171" t="s">
        <v>83</v>
      </c>
      <c r="H5" s="172" t="s">
        <v>183</v>
      </c>
      <c r="I5" s="153" t="s">
        <v>86</v>
      </c>
      <c r="K5" s="172" t="s">
        <v>183</v>
      </c>
      <c r="L5" s="153" t="s">
        <v>86</v>
      </c>
    </row>
    <row r="6">
      <c r="A6" s="173" t="s">
        <v>105</v>
      </c>
      <c r="B6" s="174">
        <f t="shared" ref="B6:B8" si="4">C6/$C$4</f>
        <v>0.6909090909</v>
      </c>
      <c r="C6" s="175">
        <v>19000.0</v>
      </c>
      <c r="D6" s="175">
        <v>19000.0</v>
      </c>
      <c r="G6" s="173" t="s">
        <v>185</v>
      </c>
      <c r="H6" s="176">
        <f>1-SUM(H7:H17)</f>
        <v>0.1715454545</v>
      </c>
      <c r="I6" s="177">
        <f>$C$4*H6</f>
        <v>4717.5</v>
      </c>
      <c r="J6" s="178"/>
      <c r="K6" s="181">
        <f>1-SUM(K7:K17)</f>
        <v>0.125</v>
      </c>
      <c r="L6" s="182">
        <f t="shared" ref="L6:L17" si="5">K6*$L$2</f>
        <v>3625</v>
      </c>
    </row>
    <row r="7">
      <c r="A7" s="173" t="s">
        <v>45</v>
      </c>
      <c r="B7" s="174">
        <f t="shared" si="4"/>
        <v>0.1090909091</v>
      </c>
      <c r="C7" s="175">
        <v>3000.0</v>
      </c>
      <c r="D7" s="175">
        <v>3000.0</v>
      </c>
      <c r="G7" s="173" t="s">
        <v>92</v>
      </c>
      <c r="H7" s="176">
        <f t="shared" ref="H7:H17" si="6">I7/$C$4</f>
        <v>0.2010909091</v>
      </c>
      <c r="I7" s="183">
        <v>5530.0</v>
      </c>
      <c r="J7" s="173" t="s">
        <v>200</v>
      </c>
      <c r="K7" s="181">
        <v>0.19</v>
      </c>
      <c r="L7" s="184">
        <f t="shared" si="5"/>
        <v>5510</v>
      </c>
    </row>
    <row r="8">
      <c r="A8" s="173" t="s">
        <v>118</v>
      </c>
      <c r="B8" s="174">
        <f t="shared" si="4"/>
        <v>0.2</v>
      </c>
      <c r="C8" s="175">
        <v>5500.0</v>
      </c>
      <c r="D8" s="175">
        <v>7550.0</v>
      </c>
      <c r="E8" s="185">
        <f>D8/C8</f>
        <v>1.372727273</v>
      </c>
      <c r="G8" s="173" t="s">
        <v>120</v>
      </c>
      <c r="H8" s="176">
        <f t="shared" si="6"/>
        <v>0.05818181818</v>
      </c>
      <c r="I8" s="183">
        <v>1600.0</v>
      </c>
      <c r="J8" s="173" t="s">
        <v>201</v>
      </c>
      <c r="K8" s="181">
        <v>0.06</v>
      </c>
      <c r="L8" s="184">
        <f t="shared" si="5"/>
        <v>1740</v>
      </c>
    </row>
    <row r="9">
      <c r="C9" s="175">
        <v>7800.0</v>
      </c>
      <c r="D9" s="175">
        <f>C9*E9</f>
        <v>10707.27273</v>
      </c>
      <c r="E9" s="185">
        <v>1.3727272727272728</v>
      </c>
      <c r="G9" s="173" t="s">
        <v>130</v>
      </c>
      <c r="H9" s="176">
        <f t="shared" si="6"/>
        <v>0.07272727273</v>
      </c>
      <c r="I9" s="183">
        <v>2000.0</v>
      </c>
      <c r="J9" s="178"/>
      <c r="K9" s="181">
        <v>0.08</v>
      </c>
      <c r="L9" s="186">
        <f t="shared" si="5"/>
        <v>2320</v>
      </c>
    </row>
    <row r="10" ht="36.0" customHeight="1">
      <c r="C10" s="155">
        <f>C9-C8</f>
        <v>2300</v>
      </c>
      <c r="D10" s="187">
        <f>D9/D8</f>
        <v>1.418181818</v>
      </c>
      <c r="G10" s="173" t="s">
        <v>188</v>
      </c>
      <c r="H10" s="176">
        <f t="shared" si="6"/>
        <v>0.003163636364</v>
      </c>
      <c r="I10" s="183">
        <v>87.0</v>
      </c>
      <c r="J10" s="173" t="s">
        <v>189</v>
      </c>
      <c r="K10" s="181">
        <v>0.03</v>
      </c>
      <c r="L10" s="186">
        <f t="shared" si="5"/>
        <v>870</v>
      </c>
    </row>
    <row r="11">
      <c r="C11" s="155">
        <f>D11/E11</f>
        <v>7164.233577</v>
      </c>
      <c r="D11" s="155">
        <f>D8*1.3</f>
        <v>9815</v>
      </c>
      <c r="E11" s="188">
        <v>1.37</v>
      </c>
      <c r="G11" s="173" t="s">
        <v>141</v>
      </c>
      <c r="H11" s="176">
        <f t="shared" si="6"/>
        <v>0.025</v>
      </c>
      <c r="I11" s="177">
        <v>687.5</v>
      </c>
      <c r="J11" s="173" t="s">
        <v>190</v>
      </c>
      <c r="K11" s="181">
        <v>0.025</v>
      </c>
      <c r="L11" s="184">
        <f t="shared" si="5"/>
        <v>725</v>
      </c>
    </row>
    <row r="12">
      <c r="C12" s="155">
        <f t="shared" ref="C12:D12" si="7">C11-C8</f>
        <v>1664.233577</v>
      </c>
      <c r="D12" s="155">
        <f t="shared" si="7"/>
        <v>2265</v>
      </c>
      <c r="G12" s="173" t="s">
        <v>107</v>
      </c>
      <c r="H12" s="176">
        <f t="shared" si="6"/>
        <v>0</v>
      </c>
      <c r="I12" s="183">
        <v>0.0</v>
      </c>
      <c r="J12" s="178"/>
      <c r="K12" s="181">
        <v>0.03</v>
      </c>
      <c r="L12" s="186">
        <f t="shared" si="5"/>
        <v>870</v>
      </c>
    </row>
    <row r="13">
      <c r="G13" s="173" t="s">
        <v>124</v>
      </c>
      <c r="H13" s="176">
        <f t="shared" si="6"/>
        <v>0.01010909091</v>
      </c>
      <c r="I13" s="183">
        <v>278.0</v>
      </c>
      <c r="J13" s="173" t="s">
        <v>191</v>
      </c>
      <c r="K13" s="181">
        <v>0.01</v>
      </c>
      <c r="L13" s="184">
        <f t="shared" si="5"/>
        <v>290</v>
      </c>
    </row>
    <row r="14">
      <c r="G14" s="173" t="s">
        <v>99</v>
      </c>
      <c r="H14" s="176">
        <f t="shared" si="6"/>
        <v>0.06545454545</v>
      </c>
      <c r="I14" s="183">
        <v>1800.0</v>
      </c>
      <c r="J14" s="173" t="s">
        <v>192</v>
      </c>
      <c r="K14" s="181">
        <v>0.07</v>
      </c>
      <c r="L14" s="186">
        <f t="shared" si="5"/>
        <v>2030</v>
      </c>
    </row>
    <row r="15">
      <c r="G15" s="173" t="s">
        <v>111</v>
      </c>
      <c r="H15" s="176">
        <f t="shared" si="6"/>
        <v>0.12</v>
      </c>
      <c r="I15" s="183">
        <v>3300.0</v>
      </c>
      <c r="J15" s="173" t="s">
        <v>193</v>
      </c>
      <c r="K15" s="181">
        <v>0.11</v>
      </c>
      <c r="L15" s="184">
        <f t="shared" si="5"/>
        <v>3190</v>
      </c>
    </row>
    <row r="16">
      <c r="G16" s="173" t="s">
        <v>109</v>
      </c>
      <c r="H16" s="176">
        <f t="shared" si="6"/>
        <v>0.1454545455</v>
      </c>
      <c r="I16" s="183">
        <v>4000.0</v>
      </c>
      <c r="J16" s="173" t="s">
        <v>194</v>
      </c>
      <c r="K16" s="181">
        <v>0.15</v>
      </c>
      <c r="L16" s="184">
        <f t="shared" si="5"/>
        <v>4350</v>
      </c>
    </row>
    <row r="17">
      <c r="G17" s="173" t="s">
        <v>135</v>
      </c>
      <c r="H17" s="176">
        <f t="shared" si="6"/>
        <v>0.1272727273</v>
      </c>
      <c r="I17" s="183">
        <v>3500.0</v>
      </c>
      <c r="J17" s="173" t="s">
        <v>195</v>
      </c>
      <c r="K17" s="181">
        <v>0.12</v>
      </c>
      <c r="L17" s="184">
        <f t="shared" si="5"/>
        <v>3480</v>
      </c>
    </row>
    <row r="20">
      <c r="B20" s="82"/>
      <c r="C20" s="82"/>
    </row>
    <row r="21">
      <c r="B21" s="82"/>
      <c r="C21" s="82"/>
    </row>
    <row r="22">
      <c r="B22" s="82"/>
      <c r="C22" s="82"/>
    </row>
    <row r="23">
      <c r="B23" s="82"/>
      <c r="C23" s="82"/>
    </row>
    <row r="24">
      <c r="B24" s="82"/>
      <c r="C24" s="82"/>
    </row>
    <row r="25">
      <c r="B25" s="82"/>
      <c r="C25" s="82"/>
    </row>
    <row r="26">
      <c r="B26" s="82"/>
      <c r="C26" s="82"/>
    </row>
    <row r="27">
      <c r="B27" s="82"/>
      <c r="C27" s="82"/>
    </row>
    <row r="28">
      <c r="B28" s="82"/>
      <c r="C28" s="82"/>
    </row>
    <row r="29">
      <c r="B29" s="82"/>
      <c r="C29" s="82"/>
    </row>
    <row r="30">
      <c r="B30" s="82"/>
      <c r="C30" s="82"/>
    </row>
    <row r="31">
      <c r="B31" s="82"/>
      <c r="C31" s="82"/>
    </row>
    <row r="32">
      <c r="B32" s="82"/>
      <c r="C32" s="82"/>
    </row>
    <row r="33">
      <c r="B33" s="82"/>
      <c r="C33" s="82"/>
    </row>
    <row r="34">
      <c r="B34" s="82"/>
      <c r="C34" s="82"/>
    </row>
    <row r="35">
      <c r="B35" s="82"/>
      <c r="C35" s="82"/>
    </row>
    <row r="36">
      <c r="B36" s="82"/>
      <c r="C36" s="82"/>
    </row>
    <row r="37">
      <c r="B37" s="82"/>
      <c r="C37" s="82"/>
    </row>
    <row r="38">
      <c r="B38" s="82"/>
      <c r="C38" s="82"/>
    </row>
    <row r="39">
      <c r="B39" s="82"/>
      <c r="C39" s="82"/>
    </row>
    <row r="40">
      <c r="B40" s="82"/>
      <c r="C40" s="82"/>
    </row>
    <row r="41">
      <c r="B41" s="82"/>
      <c r="C41" s="82"/>
    </row>
    <row r="42">
      <c r="B42" s="82"/>
      <c r="C42" s="82"/>
    </row>
    <row r="43">
      <c r="B43" s="82"/>
      <c r="C43" s="82"/>
    </row>
    <row r="44">
      <c r="B44" s="82"/>
      <c r="C44" s="82"/>
    </row>
    <row r="45">
      <c r="B45" s="82"/>
      <c r="C45" s="82"/>
    </row>
    <row r="46">
      <c r="B46" s="82"/>
      <c r="C46" s="82"/>
    </row>
    <row r="47">
      <c r="B47" s="82"/>
      <c r="C47" s="82"/>
    </row>
    <row r="48">
      <c r="B48" s="82"/>
      <c r="C48" s="82"/>
    </row>
    <row r="49">
      <c r="B49" s="82"/>
      <c r="C49" s="82"/>
    </row>
    <row r="50">
      <c r="B50" s="82"/>
      <c r="C50" s="82"/>
    </row>
    <row r="51">
      <c r="B51" s="82"/>
      <c r="C51" s="82"/>
    </row>
    <row r="52">
      <c r="B52" s="82"/>
      <c r="C52" s="82"/>
    </row>
    <row r="53">
      <c r="B53" s="82"/>
      <c r="C53" s="82"/>
    </row>
    <row r="54">
      <c r="B54" s="82"/>
      <c r="C54" s="82"/>
    </row>
    <row r="55">
      <c r="B55" s="82"/>
      <c r="C55" s="82"/>
    </row>
    <row r="56">
      <c r="B56" s="82"/>
      <c r="C56" s="82"/>
    </row>
    <row r="57">
      <c r="B57" s="82"/>
      <c r="C57" s="82"/>
    </row>
    <row r="58">
      <c r="B58" s="82"/>
      <c r="C58" s="82"/>
    </row>
    <row r="59">
      <c r="B59" s="82"/>
      <c r="C59" s="82"/>
    </row>
    <row r="60">
      <c r="B60" s="82"/>
      <c r="C60" s="82"/>
    </row>
    <row r="61">
      <c r="B61" s="82"/>
      <c r="C61" s="82"/>
    </row>
    <row r="62">
      <c r="B62" s="82"/>
      <c r="C62" s="82"/>
    </row>
    <row r="63">
      <c r="B63" s="82"/>
      <c r="C63" s="82"/>
    </row>
    <row r="64">
      <c r="B64" s="82"/>
      <c r="C64" s="82"/>
    </row>
    <row r="65">
      <c r="B65" s="82"/>
      <c r="C65" s="82"/>
    </row>
    <row r="66">
      <c r="B66" s="82"/>
      <c r="C66" s="82"/>
    </row>
    <row r="67">
      <c r="B67" s="82"/>
      <c r="C67" s="82"/>
    </row>
    <row r="68">
      <c r="B68" s="82"/>
      <c r="C68" s="82"/>
    </row>
    <row r="69">
      <c r="B69" s="82"/>
      <c r="C69" s="82"/>
    </row>
    <row r="70">
      <c r="B70" s="82"/>
      <c r="C70" s="82"/>
    </row>
    <row r="71">
      <c r="B71" s="82"/>
      <c r="C71" s="82"/>
    </row>
    <row r="72">
      <c r="B72" s="82"/>
      <c r="C72" s="82"/>
    </row>
    <row r="73">
      <c r="B73" s="82"/>
      <c r="C73" s="82"/>
    </row>
    <row r="74">
      <c r="B74" s="82"/>
      <c r="C74" s="82"/>
    </row>
    <row r="75">
      <c r="B75" s="82"/>
      <c r="C75" s="82"/>
    </row>
    <row r="76">
      <c r="B76" s="82"/>
      <c r="C76" s="82"/>
    </row>
    <row r="77">
      <c r="B77" s="82"/>
      <c r="C77" s="82"/>
    </row>
    <row r="78">
      <c r="B78" s="82"/>
      <c r="C78" s="82"/>
    </row>
    <row r="79">
      <c r="B79" s="82"/>
      <c r="C79" s="82"/>
    </row>
    <row r="80">
      <c r="B80" s="82"/>
      <c r="C80" s="82"/>
    </row>
    <row r="81">
      <c r="B81" s="82"/>
      <c r="C81" s="82"/>
    </row>
    <row r="82">
      <c r="B82" s="82"/>
      <c r="C82" s="82"/>
    </row>
    <row r="83">
      <c r="B83" s="82"/>
      <c r="C83" s="82"/>
    </row>
    <row r="84">
      <c r="B84" s="82"/>
      <c r="C84" s="82"/>
    </row>
    <row r="85">
      <c r="B85" s="82"/>
      <c r="C85" s="82"/>
    </row>
    <row r="86">
      <c r="B86" s="82"/>
      <c r="C86" s="82"/>
    </row>
    <row r="87">
      <c r="B87" s="82"/>
      <c r="C87" s="82"/>
    </row>
    <row r="88">
      <c r="B88" s="82"/>
      <c r="C88" s="82"/>
    </row>
    <row r="89">
      <c r="B89" s="82"/>
      <c r="C89" s="82"/>
    </row>
    <row r="90">
      <c r="B90" s="82"/>
      <c r="C90" s="82"/>
    </row>
    <row r="91">
      <c r="B91" s="82"/>
      <c r="C91" s="82"/>
    </row>
    <row r="92">
      <c r="B92" s="82"/>
      <c r="C92" s="82"/>
    </row>
    <row r="93">
      <c r="B93" s="82"/>
      <c r="C93" s="82"/>
    </row>
    <row r="94">
      <c r="B94" s="82"/>
      <c r="C94" s="82"/>
    </row>
    <row r="95">
      <c r="B95" s="82"/>
      <c r="C95" s="82"/>
    </row>
    <row r="96">
      <c r="B96" s="82"/>
      <c r="C96" s="82"/>
    </row>
    <row r="97">
      <c r="B97" s="82"/>
      <c r="C97" s="82"/>
    </row>
    <row r="98">
      <c r="B98" s="82"/>
      <c r="C98" s="82"/>
    </row>
    <row r="99">
      <c r="B99" s="82"/>
      <c r="C99" s="82"/>
    </row>
    <row r="100">
      <c r="B100" s="82"/>
      <c r="C100" s="82"/>
    </row>
    <row r="101">
      <c r="B101" s="82"/>
      <c r="C101" s="82"/>
    </row>
    <row r="102">
      <c r="B102" s="82"/>
      <c r="C102" s="82"/>
    </row>
    <row r="103">
      <c r="B103" s="82"/>
      <c r="C103" s="82"/>
    </row>
    <row r="104">
      <c r="B104" s="82"/>
      <c r="C104" s="82"/>
    </row>
    <row r="105">
      <c r="B105" s="82"/>
      <c r="C105" s="82"/>
    </row>
    <row r="106">
      <c r="B106" s="82"/>
      <c r="C106" s="82"/>
    </row>
    <row r="107">
      <c r="B107" s="82"/>
      <c r="C107" s="82"/>
    </row>
    <row r="108">
      <c r="B108" s="82"/>
      <c r="C108" s="82"/>
    </row>
    <row r="109">
      <c r="B109" s="82"/>
      <c r="C109" s="82"/>
    </row>
    <row r="110">
      <c r="B110" s="82"/>
      <c r="C110" s="82"/>
    </row>
    <row r="111">
      <c r="B111" s="82"/>
      <c r="C111" s="82"/>
    </row>
    <row r="112">
      <c r="B112" s="82"/>
      <c r="C112" s="82"/>
    </row>
    <row r="113">
      <c r="B113" s="82"/>
      <c r="C113" s="82"/>
    </row>
    <row r="114">
      <c r="B114" s="82"/>
      <c r="C114" s="82"/>
    </row>
    <row r="115">
      <c r="B115" s="82"/>
      <c r="C115" s="82"/>
    </row>
    <row r="116">
      <c r="B116" s="82"/>
      <c r="C116" s="82"/>
    </row>
    <row r="117">
      <c r="B117" s="82"/>
      <c r="C117" s="82"/>
    </row>
    <row r="118">
      <c r="B118" s="82"/>
      <c r="C118" s="82"/>
    </row>
    <row r="119">
      <c r="B119" s="82"/>
      <c r="C119" s="82"/>
    </row>
    <row r="120">
      <c r="B120" s="82"/>
      <c r="C120" s="82"/>
    </row>
    <row r="121">
      <c r="B121" s="82"/>
      <c r="C121" s="82"/>
    </row>
    <row r="122">
      <c r="B122" s="82"/>
      <c r="C122" s="82"/>
    </row>
    <row r="123">
      <c r="B123" s="82"/>
      <c r="C123" s="82"/>
    </row>
    <row r="124">
      <c r="B124" s="82"/>
      <c r="C124" s="82"/>
    </row>
    <row r="125">
      <c r="B125" s="82"/>
      <c r="C125" s="82"/>
    </row>
    <row r="126">
      <c r="B126" s="82"/>
      <c r="C126" s="82"/>
    </row>
    <row r="127">
      <c r="B127" s="82"/>
      <c r="C127" s="82"/>
    </row>
    <row r="128">
      <c r="B128" s="82"/>
      <c r="C128" s="82"/>
    </row>
    <row r="129">
      <c r="B129" s="82"/>
      <c r="C129" s="82"/>
    </row>
    <row r="130">
      <c r="B130" s="82"/>
      <c r="C130" s="82"/>
    </row>
    <row r="131">
      <c r="B131" s="82"/>
      <c r="C131" s="82"/>
    </row>
    <row r="132">
      <c r="B132" s="82"/>
      <c r="C132" s="82"/>
    </row>
    <row r="133">
      <c r="B133" s="82"/>
      <c r="C133" s="82"/>
    </row>
    <row r="134">
      <c r="B134" s="82"/>
      <c r="C134" s="82"/>
    </row>
    <row r="135">
      <c r="B135" s="82"/>
      <c r="C135" s="82"/>
    </row>
    <row r="136">
      <c r="B136" s="82"/>
      <c r="C136" s="82"/>
    </row>
    <row r="137">
      <c r="B137" s="82"/>
      <c r="C137" s="82"/>
    </row>
    <row r="138">
      <c r="B138" s="82"/>
      <c r="C138" s="82"/>
    </row>
    <row r="139">
      <c r="B139" s="82"/>
      <c r="C139" s="82"/>
    </row>
    <row r="140">
      <c r="B140" s="82"/>
      <c r="C140" s="82"/>
    </row>
    <row r="141">
      <c r="B141" s="82"/>
      <c r="C141" s="82"/>
    </row>
    <row r="142">
      <c r="B142" s="82"/>
      <c r="C142" s="82"/>
    </row>
    <row r="143">
      <c r="B143" s="82"/>
      <c r="C143" s="82"/>
    </row>
    <row r="144">
      <c r="B144" s="82"/>
      <c r="C144" s="82"/>
    </row>
    <row r="145">
      <c r="B145" s="82"/>
      <c r="C145" s="82"/>
    </row>
    <row r="146">
      <c r="B146" s="82"/>
      <c r="C146" s="82"/>
    </row>
    <row r="147">
      <c r="B147" s="82"/>
      <c r="C147" s="82"/>
    </row>
    <row r="148">
      <c r="B148" s="82"/>
      <c r="C148" s="82"/>
    </row>
    <row r="149">
      <c r="B149" s="82"/>
      <c r="C149" s="82"/>
    </row>
    <row r="150">
      <c r="B150" s="82"/>
      <c r="C150" s="82"/>
    </row>
    <row r="151">
      <c r="B151" s="82"/>
      <c r="C151" s="82"/>
    </row>
    <row r="152">
      <c r="B152" s="82"/>
      <c r="C152" s="82"/>
    </row>
    <row r="153">
      <c r="B153" s="82"/>
      <c r="C153" s="82"/>
    </row>
    <row r="154">
      <c r="B154" s="82"/>
      <c r="C154" s="82"/>
    </row>
    <row r="155">
      <c r="B155" s="82"/>
      <c r="C155" s="82"/>
    </row>
    <row r="156">
      <c r="B156" s="82"/>
      <c r="C156" s="82"/>
    </row>
    <row r="157">
      <c r="B157" s="82"/>
      <c r="C157" s="82"/>
    </row>
    <row r="158">
      <c r="B158" s="82"/>
      <c r="C158" s="82"/>
    </row>
    <row r="159">
      <c r="B159" s="82"/>
      <c r="C159" s="82"/>
    </row>
    <row r="160">
      <c r="B160" s="82"/>
      <c r="C160" s="82"/>
    </row>
    <row r="161">
      <c r="B161" s="82"/>
      <c r="C161" s="82"/>
    </row>
    <row r="162">
      <c r="B162" s="82"/>
      <c r="C162" s="82"/>
    </row>
    <row r="163">
      <c r="B163" s="82"/>
      <c r="C163" s="82"/>
    </row>
    <row r="164">
      <c r="B164" s="82"/>
      <c r="C164" s="82"/>
    </row>
    <row r="165">
      <c r="B165" s="82"/>
      <c r="C165" s="82"/>
    </row>
    <row r="166">
      <c r="B166" s="82"/>
      <c r="C166" s="82"/>
    </row>
    <row r="167">
      <c r="B167" s="82"/>
      <c r="C167" s="82"/>
    </row>
    <row r="168">
      <c r="B168" s="82"/>
      <c r="C168" s="82"/>
    </row>
    <row r="169">
      <c r="B169" s="82"/>
      <c r="C169" s="82"/>
    </row>
    <row r="170">
      <c r="B170" s="82"/>
      <c r="C170" s="82"/>
    </row>
    <row r="171">
      <c r="B171" s="82"/>
      <c r="C171" s="82"/>
    </row>
    <row r="172">
      <c r="B172" s="82"/>
      <c r="C172" s="82"/>
    </row>
    <row r="173">
      <c r="B173" s="82"/>
      <c r="C173" s="82"/>
    </row>
    <row r="174">
      <c r="B174" s="82"/>
      <c r="C174" s="82"/>
    </row>
    <row r="175">
      <c r="B175" s="82"/>
      <c r="C175" s="82"/>
    </row>
    <row r="176">
      <c r="B176" s="82"/>
      <c r="C176" s="82"/>
    </row>
    <row r="177">
      <c r="B177" s="82"/>
      <c r="C177" s="82"/>
    </row>
    <row r="178">
      <c r="B178" s="82"/>
      <c r="C178" s="82"/>
    </row>
    <row r="179">
      <c r="B179" s="82"/>
      <c r="C179" s="82"/>
    </row>
    <row r="180">
      <c r="B180" s="82"/>
      <c r="C180" s="82"/>
    </row>
    <row r="181">
      <c r="B181" s="82"/>
      <c r="C181" s="82"/>
    </row>
    <row r="182">
      <c r="B182" s="82"/>
      <c r="C182" s="82"/>
    </row>
    <row r="183">
      <c r="B183" s="82"/>
      <c r="C183" s="82"/>
    </row>
    <row r="184">
      <c r="B184" s="82"/>
      <c r="C184" s="82"/>
    </row>
    <row r="185">
      <c r="B185" s="82"/>
      <c r="C185" s="82"/>
    </row>
    <row r="186">
      <c r="B186" s="82"/>
      <c r="C186" s="82"/>
    </row>
    <row r="187">
      <c r="B187" s="82"/>
      <c r="C187" s="82"/>
    </row>
    <row r="188">
      <c r="B188" s="82"/>
      <c r="C188" s="82"/>
    </row>
    <row r="189">
      <c r="B189" s="82"/>
      <c r="C189" s="82"/>
    </row>
    <row r="190">
      <c r="B190" s="82"/>
      <c r="C190" s="82"/>
    </row>
    <row r="191">
      <c r="B191" s="82"/>
      <c r="C191" s="82"/>
    </row>
    <row r="192">
      <c r="B192" s="82"/>
      <c r="C192" s="82"/>
    </row>
    <row r="193">
      <c r="B193" s="82"/>
      <c r="C193" s="82"/>
    </row>
    <row r="194">
      <c r="B194" s="82"/>
      <c r="C194" s="82"/>
    </row>
    <row r="195">
      <c r="B195" s="82"/>
      <c r="C195" s="82"/>
    </row>
    <row r="196">
      <c r="B196" s="82"/>
      <c r="C196" s="82"/>
    </row>
    <row r="197">
      <c r="B197" s="82"/>
      <c r="C197" s="82"/>
    </row>
    <row r="198">
      <c r="B198" s="82"/>
      <c r="C198" s="82"/>
    </row>
    <row r="199">
      <c r="B199" s="82"/>
      <c r="C199" s="82"/>
    </row>
    <row r="200">
      <c r="B200" s="82"/>
      <c r="C200" s="82"/>
    </row>
    <row r="201">
      <c r="B201" s="82"/>
      <c r="C201" s="82"/>
    </row>
    <row r="202">
      <c r="B202" s="82"/>
      <c r="C202" s="82"/>
    </row>
    <row r="203">
      <c r="B203" s="82"/>
      <c r="C203" s="82"/>
    </row>
    <row r="204">
      <c r="B204" s="82"/>
      <c r="C204" s="82"/>
    </row>
    <row r="205">
      <c r="B205" s="82"/>
      <c r="C205" s="82"/>
    </row>
    <row r="206">
      <c r="B206" s="82"/>
      <c r="C206" s="82"/>
    </row>
    <row r="207">
      <c r="B207" s="82"/>
      <c r="C207" s="82"/>
    </row>
    <row r="208">
      <c r="B208" s="82"/>
      <c r="C208" s="82"/>
    </row>
    <row r="209">
      <c r="B209" s="82"/>
      <c r="C209" s="82"/>
    </row>
    <row r="210">
      <c r="B210" s="82"/>
      <c r="C210" s="82"/>
    </row>
    <row r="211">
      <c r="B211" s="82"/>
      <c r="C211" s="82"/>
    </row>
    <row r="212">
      <c r="B212" s="82"/>
      <c r="C212" s="82"/>
    </row>
    <row r="213">
      <c r="B213" s="82"/>
      <c r="C213" s="82"/>
    </row>
    <row r="214">
      <c r="B214" s="82"/>
      <c r="C214" s="82"/>
    </row>
    <row r="215">
      <c r="B215" s="82"/>
      <c r="C215" s="82"/>
    </row>
    <row r="216">
      <c r="B216" s="82"/>
      <c r="C216" s="82"/>
    </row>
    <row r="217">
      <c r="B217" s="82"/>
      <c r="C217" s="82"/>
    </row>
    <row r="218">
      <c r="B218" s="82"/>
      <c r="C218" s="82"/>
    </row>
    <row r="219">
      <c r="B219" s="82"/>
      <c r="C219" s="82"/>
    </row>
    <row r="220">
      <c r="B220" s="82"/>
      <c r="C220" s="82"/>
    </row>
    <row r="221">
      <c r="B221" s="82"/>
      <c r="C221" s="82"/>
    </row>
    <row r="222">
      <c r="B222" s="82"/>
      <c r="C222" s="82"/>
    </row>
    <row r="223">
      <c r="B223" s="82"/>
      <c r="C223" s="82"/>
    </row>
    <row r="224">
      <c r="B224" s="82"/>
      <c r="C224" s="82"/>
    </row>
    <row r="225">
      <c r="B225" s="82"/>
      <c r="C225" s="82"/>
    </row>
    <row r="226">
      <c r="B226" s="82"/>
      <c r="C226" s="82"/>
    </row>
    <row r="227">
      <c r="B227" s="82"/>
      <c r="C227" s="82"/>
    </row>
    <row r="228">
      <c r="B228" s="82"/>
      <c r="C228" s="82"/>
    </row>
    <row r="229">
      <c r="B229" s="82"/>
      <c r="C229" s="82"/>
    </row>
    <row r="230">
      <c r="B230" s="82"/>
      <c r="C230" s="82"/>
    </row>
    <row r="231">
      <c r="B231" s="82"/>
      <c r="C231" s="82"/>
    </row>
    <row r="232">
      <c r="B232" s="82"/>
      <c r="C232" s="82"/>
    </row>
    <row r="233">
      <c r="B233" s="82"/>
      <c r="C233" s="82"/>
    </row>
    <row r="234">
      <c r="B234" s="82"/>
      <c r="C234" s="82"/>
    </row>
    <row r="235">
      <c r="B235" s="82"/>
      <c r="C235" s="82"/>
    </row>
    <row r="236">
      <c r="B236" s="82"/>
      <c r="C236" s="82"/>
    </row>
    <row r="237">
      <c r="B237" s="82"/>
      <c r="C237" s="82"/>
    </row>
    <row r="238">
      <c r="B238" s="82"/>
      <c r="C238" s="82"/>
    </row>
    <row r="239">
      <c r="B239" s="82"/>
      <c r="C239" s="82"/>
    </row>
    <row r="240">
      <c r="B240" s="82"/>
      <c r="C240" s="82"/>
    </row>
    <row r="241">
      <c r="B241" s="82"/>
      <c r="C241" s="82"/>
    </row>
    <row r="242">
      <c r="B242" s="82"/>
      <c r="C242" s="82"/>
    </row>
    <row r="243">
      <c r="B243" s="82"/>
      <c r="C243" s="82"/>
    </row>
    <row r="244">
      <c r="B244" s="82"/>
      <c r="C244" s="82"/>
    </row>
    <row r="245">
      <c r="B245" s="82"/>
      <c r="C245" s="82"/>
    </row>
    <row r="246">
      <c r="B246" s="82"/>
      <c r="C246" s="82"/>
    </row>
    <row r="247">
      <c r="B247" s="82"/>
      <c r="C247" s="82"/>
    </row>
    <row r="248">
      <c r="B248" s="82"/>
      <c r="C248" s="82"/>
    </row>
    <row r="249">
      <c r="B249" s="82"/>
      <c r="C249" s="82"/>
    </row>
    <row r="250">
      <c r="B250" s="82"/>
      <c r="C250" s="82"/>
    </row>
    <row r="251">
      <c r="B251" s="82"/>
      <c r="C251" s="82"/>
    </row>
    <row r="252">
      <c r="B252" s="82"/>
      <c r="C252" s="82"/>
    </row>
    <row r="253">
      <c r="B253" s="82"/>
      <c r="C253" s="82"/>
    </row>
    <row r="254">
      <c r="B254" s="82"/>
      <c r="C254" s="82"/>
    </row>
    <row r="255">
      <c r="B255" s="82"/>
      <c r="C255" s="82"/>
    </row>
    <row r="256">
      <c r="B256" s="82"/>
      <c r="C256" s="82"/>
    </row>
    <row r="257">
      <c r="B257" s="82"/>
      <c r="C257" s="82"/>
    </row>
    <row r="258">
      <c r="B258" s="82"/>
      <c r="C258" s="82"/>
    </row>
    <row r="259">
      <c r="B259" s="82"/>
      <c r="C259" s="82"/>
    </row>
    <row r="260">
      <c r="B260" s="82"/>
      <c r="C260" s="82"/>
    </row>
    <row r="261">
      <c r="B261" s="82"/>
      <c r="C261" s="82"/>
    </row>
    <row r="262">
      <c r="B262" s="82"/>
      <c r="C262" s="82"/>
    </row>
    <row r="263">
      <c r="B263" s="82"/>
      <c r="C263" s="82"/>
    </row>
    <row r="264">
      <c r="B264" s="82"/>
      <c r="C264" s="82"/>
    </row>
    <row r="265">
      <c r="B265" s="82"/>
      <c r="C265" s="82"/>
    </row>
    <row r="266">
      <c r="B266" s="82"/>
      <c r="C266" s="82"/>
    </row>
    <row r="267">
      <c r="B267" s="82"/>
      <c r="C267" s="82"/>
    </row>
    <row r="268">
      <c r="B268" s="82"/>
      <c r="C268" s="82"/>
    </row>
    <row r="269">
      <c r="B269" s="82"/>
      <c r="C269" s="82"/>
    </row>
    <row r="270">
      <c r="B270" s="82"/>
      <c r="C270" s="82"/>
    </row>
    <row r="271">
      <c r="B271" s="82"/>
      <c r="C271" s="82"/>
    </row>
    <row r="272">
      <c r="B272" s="82"/>
      <c r="C272" s="82"/>
    </row>
    <row r="273">
      <c r="B273" s="82"/>
      <c r="C273" s="82"/>
    </row>
    <row r="274">
      <c r="B274" s="82"/>
      <c r="C274" s="82"/>
    </row>
    <row r="275">
      <c r="B275" s="82"/>
      <c r="C275" s="82"/>
    </row>
    <row r="276">
      <c r="B276" s="82"/>
      <c r="C276" s="82"/>
    </row>
    <row r="277">
      <c r="B277" s="82"/>
      <c r="C277" s="82"/>
    </row>
    <row r="278">
      <c r="B278" s="82"/>
      <c r="C278" s="82"/>
    </row>
    <row r="279">
      <c r="B279" s="82"/>
      <c r="C279" s="82"/>
    </row>
    <row r="280">
      <c r="B280" s="82"/>
      <c r="C280" s="82"/>
    </row>
    <row r="281">
      <c r="B281" s="82"/>
      <c r="C281" s="82"/>
    </row>
    <row r="282">
      <c r="B282" s="82"/>
      <c r="C282" s="82"/>
    </row>
    <row r="283">
      <c r="B283" s="82"/>
      <c r="C283" s="82"/>
    </row>
    <row r="284">
      <c r="B284" s="82"/>
      <c r="C284" s="82"/>
    </row>
    <row r="285">
      <c r="B285" s="82"/>
      <c r="C285" s="82"/>
    </row>
    <row r="286">
      <c r="B286" s="82"/>
      <c r="C286" s="82"/>
    </row>
    <row r="287">
      <c r="B287" s="82"/>
      <c r="C287" s="82"/>
    </row>
    <row r="288">
      <c r="B288" s="82"/>
      <c r="C288" s="82"/>
    </row>
    <row r="289">
      <c r="B289" s="82"/>
      <c r="C289" s="82"/>
    </row>
    <row r="290">
      <c r="B290" s="82"/>
      <c r="C290" s="82"/>
    </row>
    <row r="291">
      <c r="B291" s="82"/>
      <c r="C291" s="82"/>
    </row>
    <row r="292">
      <c r="B292" s="82"/>
      <c r="C292" s="82"/>
    </row>
    <row r="293">
      <c r="B293" s="82"/>
      <c r="C293" s="82"/>
    </row>
    <row r="294">
      <c r="B294" s="82"/>
      <c r="C294" s="82"/>
    </row>
    <row r="295">
      <c r="B295" s="82"/>
      <c r="C295" s="82"/>
    </row>
    <row r="296">
      <c r="B296" s="82"/>
      <c r="C296" s="82"/>
    </row>
    <row r="297">
      <c r="B297" s="82"/>
      <c r="C297" s="82"/>
    </row>
    <row r="298">
      <c r="B298" s="82"/>
      <c r="C298" s="82"/>
    </row>
    <row r="299">
      <c r="B299" s="82"/>
      <c r="C299" s="82"/>
    </row>
    <row r="300">
      <c r="B300" s="82"/>
      <c r="C300" s="82"/>
    </row>
    <row r="301">
      <c r="B301" s="82"/>
      <c r="C301" s="82"/>
    </row>
    <row r="302">
      <c r="B302" s="82"/>
      <c r="C302" s="82"/>
    </row>
    <row r="303">
      <c r="B303" s="82"/>
      <c r="C303" s="82"/>
    </row>
    <row r="304">
      <c r="B304" s="82"/>
      <c r="C304" s="82"/>
    </row>
    <row r="305">
      <c r="B305" s="82"/>
      <c r="C305" s="82"/>
    </row>
    <row r="306">
      <c r="B306" s="82"/>
      <c r="C306" s="82"/>
    </row>
    <row r="307">
      <c r="B307" s="82"/>
      <c r="C307" s="82"/>
    </row>
    <row r="308">
      <c r="B308" s="82"/>
      <c r="C308" s="82"/>
    </row>
    <row r="309">
      <c r="B309" s="82"/>
      <c r="C309" s="82"/>
    </row>
    <row r="310">
      <c r="B310" s="82"/>
      <c r="C310" s="82"/>
    </row>
    <row r="311">
      <c r="B311" s="82"/>
      <c r="C311" s="82"/>
    </row>
    <row r="312">
      <c r="B312" s="82"/>
      <c r="C312" s="82"/>
    </row>
    <row r="313">
      <c r="B313" s="82"/>
      <c r="C313" s="82"/>
    </row>
    <row r="314">
      <c r="B314" s="82"/>
      <c r="C314" s="82"/>
    </row>
    <row r="315">
      <c r="B315" s="82"/>
      <c r="C315" s="82"/>
    </row>
    <row r="316">
      <c r="B316" s="82"/>
      <c r="C316" s="82"/>
    </row>
    <row r="317">
      <c r="B317" s="82"/>
      <c r="C317" s="82"/>
    </row>
    <row r="318">
      <c r="B318" s="82"/>
      <c r="C318" s="82"/>
    </row>
    <row r="319">
      <c r="B319" s="82"/>
      <c r="C319" s="82"/>
    </row>
    <row r="320">
      <c r="B320" s="82"/>
      <c r="C320" s="82"/>
    </row>
    <row r="321">
      <c r="B321" s="82"/>
      <c r="C321" s="82"/>
    </row>
    <row r="322">
      <c r="B322" s="82"/>
      <c r="C322" s="82"/>
    </row>
    <row r="323">
      <c r="B323" s="82"/>
      <c r="C323" s="82"/>
    </row>
    <row r="324">
      <c r="B324" s="82"/>
      <c r="C324" s="82"/>
    </row>
    <row r="325">
      <c r="B325" s="82"/>
      <c r="C325" s="82"/>
    </row>
    <row r="326">
      <c r="B326" s="82"/>
      <c r="C326" s="82"/>
    </row>
    <row r="327">
      <c r="B327" s="82"/>
      <c r="C327" s="82"/>
    </row>
    <row r="328">
      <c r="B328" s="82"/>
      <c r="C328" s="82"/>
    </row>
    <row r="329">
      <c r="B329" s="82"/>
      <c r="C329" s="82"/>
    </row>
    <row r="330">
      <c r="B330" s="82"/>
      <c r="C330" s="82"/>
    </row>
    <row r="331">
      <c r="B331" s="82"/>
      <c r="C331" s="82"/>
    </row>
    <row r="332">
      <c r="B332" s="82"/>
      <c r="C332" s="82"/>
    </row>
    <row r="333">
      <c r="B333" s="82"/>
      <c r="C333" s="82"/>
    </row>
    <row r="334">
      <c r="B334" s="82"/>
      <c r="C334" s="82"/>
    </row>
    <row r="335">
      <c r="B335" s="82"/>
      <c r="C335" s="82"/>
    </row>
    <row r="336">
      <c r="B336" s="82"/>
      <c r="C336" s="82"/>
    </row>
    <row r="337">
      <c r="B337" s="82"/>
      <c r="C337" s="82"/>
    </row>
    <row r="338">
      <c r="B338" s="82"/>
      <c r="C338" s="82"/>
    </row>
    <row r="339">
      <c r="B339" s="82"/>
      <c r="C339" s="82"/>
    </row>
    <row r="340">
      <c r="B340" s="82"/>
      <c r="C340" s="82"/>
    </row>
    <row r="341">
      <c r="B341" s="82"/>
      <c r="C341" s="82"/>
    </row>
    <row r="342">
      <c r="B342" s="82"/>
      <c r="C342" s="82"/>
    </row>
    <row r="343">
      <c r="B343" s="82"/>
      <c r="C343" s="82"/>
    </row>
    <row r="344">
      <c r="B344" s="82"/>
      <c r="C344" s="82"/>
    </row>
    <row r="345">
      <c r="B345" s="82"/>
      <c r="C345" s="82"/>
    </row>
    <row r="346">
      <c r="B346" s="82"/>
      <c r="C346" s="82"/>
    </row>
    <row r="347">
      <c r="B347" s="82"/>
      <c r="C347" s="82"/>
    </row>
    <row r="348">
      <c r="B348" s="82"/>
      <c r="C348" s="82"/>
    </row>
    <row r="349">
      <c r="B349" s="82"/>
      <c r="C349" s="82"/>
    </row>
    <row r="350">
      <c r="B350" s="82"/>
      <c r="C350" s="82"/>
    </row>
    <row r="351">
      <c r="B351" s="82"/>
      <c r="C351" s="82"/>
    </row>
    <row r="352">
      <c r="B352" s="82"/>
      <c r="C352" s="82"/>
    </row>
    <row r="353">
      <c r="B353" s="82"/>
      <c r="C353" s="82"/>
    </row>
    <row r="354">
      <c r="B354" s="82"/>
      <c r="C354" s="82"/>
    </row>
    <row r="355">
      <c r="B355" s="82"/>
      <c r="C355" s="82"/>
    </row>
    <row r="356">
      <c r="B356" s="82"/>
      <c r="C356" s="82"/>
    </row>
    <row r="357">
      <c r="B357" s="82"/>
      <c r="C357" s="82"/>
    </row>
    <row r="358">
      <c r="B358" s="82"/>
      <c r="C358" s="82"/>
    </row>
    <row r="359">
      <c r="B359" s="82"/>
      <c r="C359" s="82"/>
    </row>
    <row r="360">
      <c r="B360" s="82"/>
      <c r="C360" s="82"/>
    </row>
    <row r="361">
      <c r="B361" s="82"/>
      <c r="C361" s="82"/>
    </row>
    <row r="362">
      <c r="B362" s="82"/>
      <c r="C362" s="82"/>
    </row>
    <row r="363">
      <c r="B363" s="82"/>
      <c r="C363" s="82"/>
    </row>
    <row r="364">
      <c r="B364" s="82"/>
      <c r="C364" s="82"/>
    </row>
    <row r="365">
      <c r="B365" s="82"/>
      <c r="C365" s="82"/>
    </row>
    <row r="366">
      <c r="B366" s="82"/>
      <c r="C366" s="82"/>
    </row>
    <row r="367">
      <c r="B367" s="82"/>
      <c r="C367" s="82"/>
    </row>
    <row r="368">
      <c r="B368" s="82"/>
      <c r="C368" s="82"/>
    </row>
    <row r="369">
      <c r="B369" s="82"/>
      <c r="C369" s="82"/>
    </row>
    <row r="370">
      <c r="B370" s="82"/>
      <c r="C370" s="82"/>
    </row>
    <row r="371">
      <c r="B371" s="82"/>
      <c r="C371" s="82"/>
    </row>
    <row r="372">
      <c r="B372" s="82"/>
      <c r="C372" s="82"/>
    </row>
    <row r="373">
      <c r="B373" s="82"/>
      <c r="C373" s="82"/>
    </row>
    <row r="374">
      <c r="B374" s="82"/>
      <c r="C374" s="82"/>
    </row>
    <row r="375">
      <c r="B375" s="82"/>
      <c r="C375" s="82"/>
    </row>
    <row r="376">
      <c r="B376" s="82"/>
      <c r="C376" s="82"/>
    </row>
    <row r="377">
      <c r="B377" s="82"/>
      <c r="C377" s="82"/>
    </row>
    <row r="378">
      <c r="B378" s="82"/>
      <c r="C378" s="82"/>
    </row>
    <row r="379">
      <c r="B379" s="82"/>
      <c r="C379" s="82"/>
    </row>
    <row r="380">
      <c r="B380" s="82"/>
      <c r="C380" s="82"/>
    </row>
    <row r="381">
      <c r="B381" s="82"/>
      <c r="C381" s="82"/>
    </row>
    <row r="382">
      <c r="B382" s="82"/>
      <c r="C382" s="82"/>
    </row>
    <row r="383">
      <c r="B383" s="82"/>
      <c r="C383" s="82"/>
    </row>
    <row r="384">
      <c r="B384" s="82"/>
      <c r="C384" s="82"/>
    </row>
    <row r="385">
      <c r="B385" s="82"/>
      <c r="C385" s="82"/>
    </row>
    <row r="386">
      <c r="B386" s="82"/>
      <c r="C386" s="82"/>
    </row>
    <row r="387">
      <c r="B387" s="82"/>
      <c r="C387" s="82"/>
    </row>
    <row r="388">
      <c r="B388" s="82"/>
      <c r="C388" s="82"/>
    </row>
    <row r="389">
      <c r="B389" s="82"/>
      <c r="C389" s="82"/>
    </row>
    <row r="390">
      <c r="B390" s="82"/>
      <c r="C390" s="82"/>
    </row>
    <row r="391">
      <c r="B391" s="82"/>
      <c r="C391" s="82"/>
    </row>
    <row r="392">
      <c r="B392" s="82"/>
      <c r="C392" s="82"/>
    </row>
    <row r="393">
      <c r="B393" s="82"/>
      <c r="C393" s="82"/>
    </row>
    <row r="394">
      <c r="B394" s="82"/>
      <c r="C394" s="82"/>
    </row>
    <row r="395">
      <c r="B395" s="82"/>
      <c r="C395" s="82"/>
    </row>
    <row r="396">
      <c r="B396" s="82"/>
      <c r="C396" s="82"/>
    </row>
    <row r="397">
      <c r="B397" s="82"/>
      <c r="C397" s="82"/>
    </row>
    <row r="398">
      <c r="B398" s="82"/>
      <c r="C398" s="82"/>
    </row>
    <row r="399">
      <c r="B399" s="82"/>
      <c r="C399" s="82"/>
    </row>
    <row r="400">
      <c r="B400" s="82"/>
      <c r="C400" s="82"/>
    </row>
    <row r="401">
      <c r="B401" s="82"/>
      <c r="C401" s="82"/>
    </row>
    <row r="402">
      <c r="B402" s="82"/>
      <c r="C402" s="82"/>
    </row>
    <row r="403">
      <c r="B403" s="82"/>
      <c r="C403" s="82"/>
    </row>
    <row r="404">
      <c r="B404" s="82"/>
      <c r="C404" s="82"/>
    </row>
    <row r="405">
      <c r="B405" s="82"/>
      <c r="C405" s="82"/>
    </row>
    <row r="406">
      <c r="B406" s="82"/>
      <c r="C406" s="82"/>
    </row>
    <row r="407">
      <c r="B407" s="82"/>
      <c r="C407" s="82"/>
    </row>
    <row r="408">
      <c r="B408" s="82"/>
      <c r="C408" s="82"/>
    </row>
    <row r="409">
      <c r="B409" s="82"/>
      <c r="C409" s="82"/>
    </row>
    <row r="410">
      <c r="B410" s="82"/>
      <c r="C410" s="82"/>
    </row>
    <row r="411">
      <c r="B411" s="82"/>
      <c r="C411" s="82"/>
    </row>
    <row r="412">
      <c r="B412" s="82"/>
      <c r="C412" s="82"/>
    </row>
    <row r="413">
      <c r="B413" s="82"/>
      <c r="C413" s="82"/>
    </row>
    <row r="414">
      <c r="B414" s="82"/>
      <c r="C414" s="82"/>
    </row>
    <row r="415">
      <c r="B415" s="82"/>
      <c r="C415" s="82"/>
    </row>
    <row r="416">
      <c r="B416" s="82"/>
      <c r="C416" s="82"/>
    </row>
    <row r="417">
      <c r="B417" s="82"/>
      <c r="C417" s="82"/>
    </row>
    <row r="418">
      <c r="B418" s="82"/>
      <c r="C418" s="82"/>
    </row>
    <row r="419">
      <c r="B419" s="82"/>
      <c r="C419" s="82"/>
    </row>
    <row r="420">
      <c r="B420" s="82"/>
      <c r="C420" s="82"/>
    </row>
    <row r="421">
      <c r="B421" s="82"/>
      <c r="C421" s="82"/>
    </row>
    <row r="422">
      <c r="B422" s="82"/>
      <c r="C422" s="82"/>
    </row>
    <row r="423">
      <c r="B423" s="82"/>
      <c r="C423" s="82"/>
    </row>
    <row r="424">
      <c r="B424" s="82"/>
      <c r="C424" s="82"/>
    </row>
    <row r="425">
      <c r="B425" s="82"/>
      <c r="C425" s="82"/>
    </row>
    <row r="426">
      <c r="B426" s="82"/>
      <c r="C426" s="82"/>
    </row>
    <row r="427">
      <c r="B427" s="82"/>
      <c r="C427" s="82"/>
    </row>
    <row r="428">
      <c r="B428" s="82"/>
      <c r="C428" s="82"/>
    </row>
    <row r="429">
      <c r="B429" s="82"/>
      <c r="C429" s="82"/>
    </row>
    <row r="430">
      <c r="B430" s="82"/>
      <c r="C430" s="82"/>
    </row>
    <row r="431">
      <c r="B431" s="82"/>
      <c r="C431" s="82"/>
    </row>
    <row r="432">
      <c r="B432" s="82"/>
      <c r="C432" s="82"/>
    </row>
    <row r="433">
      <c r="B433" s="82"/>
      <c r="C433" s="82"/>
    </row>
    <row r="434">
      <c r="B434" s="82"/>
      <c r="C434" s="82"/>
    </row>
    <row r="435">
      <c r="B435" s="82"/>
      <c r="C435" s="82"/>
    </row>
    <row r="436">
      <c r="B436" s="82"/>
      <c r="C436" s="82"/>
    </row>
    <row r="437">
      <c r="B437" s="82"/>
      <c r="C437" s="82"/>
    </row>
    <row r="438">
      <c r="B438" s="82"/>
      <c r="C438" s="82"/>
    </row>
    <row r="439">
      <c r="B439" s="82"/>
      <c r="C439" s="82"/>
    </row>
    <row r="440">
      <c r="B440" s="82"/>
      <c r="C440" s="82"/>
    </row>
    <row r="441">
      <c r="B441" s="82"/>
      <c r="C441" s="82"/>
    </row>
    <row r="442">
      <c r="B442" s="82"/>
      <c r="C442" s="82"/>
    </row>
    <row r="443">
      <c r="B443" s="82"/>
      <c r="C443" s="82"/>
    </row>
    <row r="444">
      <c r="B444" s="82"/>
      <c r="C444" s="82"/>
    </row>
    <row r="445">
      <c r="B445" s="82"/>
      <c r="C445" s="82"/>
    </row>
    <row r="446">
      <c r="B446" s="82"/>
      <c r="C446" s="82"/>
    </row>
    <row r="447">
      <c r="B447" s="82"/>
      <c r="C447" s="82"/>
    </row>
    <row r="448">
      <c r="B448" s="82"/>
      <c r="C448" s="82"/>
    </row>
    <row r="449">
      <c r="B449" s="82"/>
      <c r="C449" s="82"/>
    </row>
    <row r="450">
      <c r="B450" s="82"/>
      <c r="C450" s="82"/>
    </row>
    <row r="451">
      <c r="B451" s="82"/>
      <c r="C451" s="82"/>
    </row>
    <row r="452">
      <c r="B452" s="82"/>
      <c r="C452" s="82"/>
    </row>
    <row r="453">
      <c r="B453" s="82"/>
      <c r="C453" s="82"/>
    </row>
    <row r="454">
      <c r="B454" s="82"/>
      <c r="C454" s="82"/>
    </row>
    <row r="455">
      <c r="B455" s="82"/>
      <c r="C455" s="82"/>
    </row>
    <row r="456">
      <c r="B456" s="82"/>
      <c r="C456" s="82"/>
    </row>
    <row r="457">
      <c r="B457" s="82"/>
      <c r="C457" s="82"/>
    </row>
    <row r="458">
      <c r="B458" s="82"/>
      <c r="C458" s="82"/>
    </row>
    <row r="459">
      <c r="B459" s="82"/>
      <c r="C459" s="82"/>
    </row>
    <row r="460">
      <c r="B460" s="82"/>
      <c r="C460" s="82"/>
    </row>
    <row r="461">
      <c r="B461" s="82"/>
      <c r="C461" s="82"/>
    </row>
    <row r="462">
      <c r="B462" s="82"/>
      <c r="C462" s="82"/>
    </row>
    <row r="463">
      <c r="B463" s="82"/>
      <c r="C463" s="82"/>
    </row>
    <row r="464">
      <c r="B464" s="82"/>
      <c r="C464" s="82"/>
    </row>
    <row r="465">
      <c r="B465" s="82"/>
      <c r="C465" s="82"/>
    </row>
    <row r="466">
      <c r="B466" s="82"/>
      <c r="C466" s="82"/>
    </row>
    <row r="467">
      <c r="B467" s="82"/>
      <c r="C467" s="82"/>
    </row>
    <row r="468">
      <c r="B468" s="82"/>
      <c r="C468" s="82"/>
    </row>
    <row r="469">
      <c r="B469" s="82"/>
      <c r="C469" s="82"/>
    </row>
    <row r="470">
      <c r="B470" s="82"/>
      <c r="C470" s="82"/>
    </row>
    <row r="471">
      <c r="B471" s="82"/>
      <c r="C471" s="82"/>
    </row>
    <row r="472">
      <c r="B472" s="82"/>
      <c r="C472" s="82"/>
    </row>
    <row r="473">
      <c r="B473" s="82"/>
      <c r="C473" s="82"/>
    </row>
    <row r="474">
      <c r="B474" s="82"/>
      <c r="C474" s="82"/>
    </row>
    <row r="475">
      <c r="B475" s="82"/>
      <c r="C475" s="82"/>
    </row>
    <row r="476">
      <c r="B476" s="82"/>
      <c r="C476" s="82"/>
    </row>
    <row r="477">
      <c r="B477" s="82"/>
      <c r="C477" s="82"/>
    </row>
    <row r="478">
      <c r="B478" s="82"/>
      <c r="C478" s="82"/>
    </row>
    <row r="479">
      <c r="B479" s="82"/>
      <c r="C479" s="82"/>
    </row>
    <row r="480">
      <c r="B480" s="82"/>
      <c r="C480" s="82"/>
    </row>
    <row r="481">
      <c r="B481" s="82"/>
      <c r="C481" s="82"/>
    </row>
    <row r="482">
      <c r="B482" s="82"/>
      <c r="C482" s="82"/>
    </row>
    <row r="483">
      <c r="B483" s="82"/>
      <c r="C483" s="82"/>
    </row>
    <row r="484">
      <c r="B484" s="82"/>
      <c r="C484" s="82"/>
    </row>
    <row r="485">
      <c r="B485" s="82"/>
      <c r="C485" s="82"/>
    </row>
    <row r="486">
      <c r="B486" s="82"/>
      <c r="C486" s="82"/>
    </row>
    <row r="487">
      <c r="B487" s="82"/>
      <c r="C487" s="82"/>
    </row>
    <row r="488">
      <c r="B488" s="82"/>
      <c r="C488" s="82"/>
    </row>
    <row r="489">
      <c r="B489" s="82"/>
      <c r="C489" s="82"/>
    </row>
    <row r="490">
      <c r="B490" s="82"/>
      <c r="C490" s="82"/>
    </row>
    <row r="491">
      <c r="B491" s="82"/>
      <c r="C491" s="82"/>
    </row>
    <row r="492">
      <c r="B492" s="82"/>
      <c r="C492" s="82"/>
    </row>
    <row r="493">
      <c r="B493" s="82"/>
      <c r="C493" s="82"/>
    </row>
    <row r="494">
      <c r="B494" s="82"/>
      <c r="C494" s="82"/>
    </row>
    <row r="495">
      <c r="B495" s="82"/>
      <c r="C495" s="82"/>
    </row>
    <row r="496">
      <c r="B496" s="82"/>
      <c r="C496" s="82"/>
    </row>
    <row r="497">
      <c r="B497" s="82"/>
      <c r="C497" s="82"/>
    </row>
    <row r="498">
      <c r="B498" s="82"/>
      <c r="C498" s="82"/>
    </row>
    <row r="499">
      <c r="B499" s="82"/>
      <c r="C499" s="82"/>
    </row>
    <row r="500">
      <c r="B500" s="82"/>
      <c r="C500" s="82"/>
    </row>
    <row r="501">
      <c r="B501" s="82"/>
      <c r="C501" s="82"/>
    </row>
    <row r="502">
      <c r="B502" s="82"/>
      <c r="C502" s="82"/>
    </row>
    <row r="503">
      <c r="B503" s="82"/>
      <c r="C503" s="82"/>
    </row>
    <row r="504">
      <c r="B504" s="82"/>
      <c r="C504" s="82"/>
    </row>
    <row r="505">
      <c r="B505" s="82"/>
      <c r="C505" s="82"/>
    </row>
    <row r="506">
      <c r="B506" s="82"/>
      <c r="C506" s="82"/>
    </row>
    <row r="507">
      <c r="B507" s="82"/>
      <c r="C507" s="82"/>
    </row>
    <row r="508">
      <c r="B508" s="82"/>
      <c r="C508" s="82"/>
    </row>
    <row r="509">
      <c r="B509" s="82"/>
      <c r="C509" s="82"/>
    </row>
    <row r="510">
      <c r="B510" s="82"/>
      <c r="C510" s="82"/>
    </row>
    <row r="511">
      <c r="B511" s="82"/>
      <c r="C511" s="82"/>
    </row>
    <row r="512">
      <c r="B512" s="82"/>
      <c r="C512" s="82"/>
    </row>
    <row r="513">
      <c r="B513" s="82"/>
      <c r="C513" s="82"/>
    </row>
    <row r="514">
      <c r="B514" s="82"/>
      <c r="C514" s="82"/>
    </row>
    <row r="515">
      <c r="B515" s="82"/>
      <c r="C515" s="82"/>
    </row>
    <row r="516">
      <c r="B516" s="82"/>
      <c r="C516" s="82"/>
    </row>
    <row r="517">
      <c r="B517" s="82"/>
      <c r="C517" s="82"/>
    </row>
    <row r="518">
      <c r="B518" s="82"/>
      <c r="C518" s="82"/>
    </row>
    <row r="519">
      <c r="B519" s="82"/>
      <c r="C519" s="82"/>
    </row>
    <row r="520">
      <c r="B520" s="82"/>
      <c r="C520" s="82"/>
    </row>
    <row r="521">
      <c r="B521" s="82"/>
      <c r="C521" s="82"/>
    </row>
    <row r="522">
      <c r="B522" s="82"/>
      <c r="C522" s="82"/>
    </row>
    <row r="523">
      <c r="B523" s="82"/>
      <c r="C523" s="82"/>
    </row>
    <row r="524">
      <c r="B524" s="82"/>
      <c r="C524" s="82"/>
    </row>
    <row r="525">
      <c r="B525" s="82"/>
      <c r="C525" s="82"/>
    </row>
    <row r="526">
      <c r="B526" s="82"/>
      <c r="C526" s="82"/>
    </row>
    <row r="527">
      <c r="B527" s="82"/>
      <c r="C527" s="82"/>
    </row>
    <row r="528">
      <c r="B528" s="82"/>
      <c r="C528" s="82"/>
    </row>
    <row r="529">
      <c r="B529" s="82"/>
      <c r="C529" s="82"/>
    </row>
    <row r="530">
      <c r="B530" s="82"/>
      <c r="C530" s="82"/>
    </row>
    <row r="531">
      <c r="B531" s="82"/>
      <c r="C531" s="82"/>
    </row>
    <row r="532">
      <c r="B532" s="82"/>
      <c r="C532" s="82"/>
    </row>
    <row r="533">
      <c r="B533" s="82"/>
      <c r="C533" s="82"/>
    </row>
    <row r="534">
      <c r="B534" s="82"/>
      <c r="C534" s="82"/>
    </row>
    <row r="535">
      <c r="B535" s="82"/>
      <c r="C535" s="82"/>
    </row>
    <row r="536">
      <c r="B536" s="82"/>
      <c r="C536" s="82"/>
    </row>
    <row r="537">
      <c r="B537" s="82"/>
      <c r="C537" s="82"/>
    </row>
    <row r="538">
      <c r="B538" s="82"/>
      <c r="C538" s="82"/>
    </row>
    <row r="539">
      <c r="B539" s="82"/>
      <c r="C539" s="82"/>
    </row>
    <row r="540">
      <c r="B540" s="82"/>
      <c r="C540" s="82"/>
    </row>
    <row r="541">
      <c r="B541" s="82"/>
      <c r="C541" s="82"/>
    </row>
    <row r="542">
      <c r="B542" s="82"/>
      <c r="C542" s="82"/>
    </row>
    <row r="543">
      <c r="B543" s="82"/>
      <c r="C543" s="82"/>
    </row>
    <row r="544">
      <c r="B544" s="82"/>
      <c r="C544" s="82"/>
    </row>
    <row r="545">
      <c r="B545" s="82"/>
      <c r="C545" s="82"/>
    </row>
    <row r="546">
      <c r="B546" s="82"/>
      <c r="C546" s="82"/>
    </row>
    <row r="547">
      <c r="B547" s="82"/>
      <c r="C547" s="82"/>
    </row>
    <row r="548">
      <c r="B548" s="82"/>
      <c r="C548" s="82"/>
    </row>
    <row r="549">
      <c r="B549" s="82"/>
      <c r="C549" s="82"/>
    </row>
    <row r="550">
      <c r="B550" s="82"/>
      <c r="C550" s="82"/>
    </row>
    <row r="551">
      <c r="B551" s="82"/>
      <c r="C551" s="82"/>
    </row>
    <row r="552">
      <c r="B552" s="82"/>
      <c r="C552" s="82"/>
    </row>
    <row r="553">
      <c r="B553" s="82"/>
      <c r="C553" s="82"/>
    </row>
    <row r="554">
      <c r="B554" s="82"/>
      <c r="C554" s="82"/>
    </row>
    <row r="555">
      <c r="B555" s="82"/>
      <c r="C555" s="82"/>
    </row>
    <row r="556">
      <c r="B556" s="82"/>
      <c r="C556" s="82"/>
    </row>
    <row r="557">
      <c r="B557" s="82"/>
      <c r="C557" s="82"/>
    </row>
    <row r="558">
      <c r="B558" s="82"/>
      <c r="C558" s="82"/>
    </row>
    <row r="559">
      <c r="B559" s="82"/>
      <c r="C559" s="82"/>
    </row>
    <row r="560">
      <c r="B560" s="82"/>
      <c r="C560" s="82"/>
    </row>
    <row r="561">
      <c r="B561" s="82"/>
      <c r="C561" s="82"/>
    </row>
    <row r="562">
      <c r="B562" s="82"/>
      <c r="C562" s="82"/>
    </row>
    <row r="563">
      <c r="B563" s="82"/>
      <c r="C563" s="82"/>
    </row>
    <row r="564">
      <c r="B564" s="82"/>
      <c r="C564" s="82"/>
    </row>
    <row r="565">
      <c r="B565" s="82"/>
      <c r="C565" s="82"/>
    </row>
    <row r="566">
      <c r="B566" s="82"/>
      <c r="C566" s="82"/>
    </row>
    <row r="567">
      <c r="B567" s="82"/>
      <c r="C567" s="82"/>
    </row>
    <row r="568">
      <c r="B568" s="82"/>
      <c r="C568" s="82"/>
    </row>
    <row r="569">
      <c r="B569" s="82"/>
      <c r="C569" s="82"/>
    </row>
    <row r="570">
      <c r="B570" s="82"/>
      <c r="C570" s="82"/>
    </row>
    <row r="571">
      <c r="B571" s="82"/>
      <c r="C571" s="82"/>
    </row>
    <row r="572">
      <c r="B572" s="82"/>
      <c r="C572" s="82"/>
    </row>
    <row r="573">
      <c r="B573" s="82"/>
      <c r="C573" s="82"/>
    </row>
    <row r="574">
      <c r="B574" s="82"/>
      <c r="C574" s="82"/>
    </row>
    <row r="575">
      <c r="B575" s="82"/>
      <c r="C575" s="82"/>
    </row>
    <row r="576">
      <c r="B576" s="82"/>
      <c r="C576" s="82"/>
    </row>
    <row r="577">
      <c r="B577" s="82"/>
      <c r="C577" s="82"/>
    </row>
    <row r="578">
      <c r="B578" s="82"/>
      <c r="C578" s="82"/>
    </row>
    <row r="579">
      <c r="B579" s="82"/>
      <c r="C579" s="82"/>
    </row>
    <row r="580">
      <c r="B580" s="82"/>
      <c r="C580" s="82"/>
    </row>
    <row r="581">
      <c r="B581" s="82"/>
      <c r="C581" s="82"/>
    </row>
    <row r="582">
      <c r="B582" s="82"/>
      <c r="C582" s="82"/>
    </row>
    <row r="583">
      <c r="B583" s="82"/>
      <c r="C583" s="82"/>
    </row>
    <row r="584">
      <c r="B584" s="82"/>
      <c r="C584" s="82"/>
    </row>
    <row r="585">
      <c r="B585" s="82"/>
      <c r="C585" s="82"/>
    </row>
    <row r="586">
      <c r="B586" s="82"/>
      <c r="C586" s="82"/>
    </row>
    <row r="587">
      <c r="B587" s="82"/>
      <c r="C587" s="82"/>
    </row>
    <row r="588">
      <c r="B588" s="82"/>
      <c r="C588" s="82"/>
    </row>
    <row r="589">
      <c r="B589" s="82"/>
      <c r="C589" s="82"/>
    </row>
    <row r="590">
      <c r="B590" s="82"/>
      <c r="C590" s="82"/>
    </row>
    <row r="591">
      <c r="B591" s="82"/>
      <c r="C591" s="82"/>
    </row>
    <row r="592">
      <c r="B592" s="82"/>
      <c r="C592" s="82"/>
    </row>
    <row r="593">
      <c r="B593" s="82"/>
      <c r="C593" s="82"/>
    </row>
    <row r="594">
      <c r="B594" s="82"/>
      <c r="C594" s="82"/>
    </row>
    <row r="595">
      <c r="B595" s="82"/>
      <c r="C595" s="82"/>
    </row>
    <row r="596">
      <c r="B596" s="82"/>
      <c r="C596" s="82"/>
    </row>
    <row r="597">
      <c r="B597" s="82"/>
      <c r="C597" s="82"/>
    </row>
    <row r="598">
      <c r="B598" s="82"/>
      <c r="C598" s="82"/>
    </row>
    <row r="599">
      <c r="B599" s="82"/>
      <c r="C599" s="82"/>
    </row>
    <row r="600">
      <c r="B600" s="82"/>
      <c r="C600" s="82"/>
    </row>
    <row r="601">
      <c r="B601" s="82"/>
      <c r="C601" s="82"/>
    </row>
    <row r="602">
      <c r="B602" s="82"/>
      <c r="C602" s="82"/>
    </row>
    <row r="603">
      <c r="B603" s="82"/>
      <c r="C603" s="82"/>
    </row>
    <row r="604">
      <c r="B604" s="82"/>
      <c r="C604" s="82"/>
    </row>
    <row r="605">
      <c r="B605" s="82"/>
      <c r="C605" s="82"/>
    </row>
    <row r="606">
      <c r="B606" s="82"/>
      <c r="C606" s="82"/>
    </row>
    <row r="607">
      <c r="B607" s="82"/>
      <c r="C607" s="82"/>
    </row>
    <row r="608">
      <c r="B608" s="82"/>
      <c r="C608" s="82"/>
    </row>
    <row r="609">
      <c r="B609" s="82"/>
      <c r="C609" s="82"/>
    </row>
    <row r="610">
      <c r="B610" s="82"/>
      <c r="C610" s="82"/>
    </row>
    <row r="611">
      <c r="B611" s="82"/>
      <c r="C611" s="82"/>
    </row>
    <row r="612">
      <c r="B612" s="82"/>
      <c r="C612" s="82"/>
    </row>
    <row r="613">
      <c r="B613" s="82"/>
      <c r="C613" s="82"/>
    </row>
    <row r="614">
      <c r="B614" s="82"/>
      <c r="C614" s="82"/>
    </row>
    <row r="615">
      <c r="B615" s="82"/>
      <c r="C615" s="82"/>
    </row>
    <row r="616">
      <c r="B616" s="82"/>
      <c r="C616" s="82"/>
    </row>
    <row r="617">
      <c r="B617" s="82"/>
      <c r="C617" s="82"/>
    </row>
    <row r="618">
      <c r="B618" s="82"/>
      <c r="C618" s="82"/>
    </row>
    <row r="619">
      <c r="B619" s="82"/>
      <c r="C619" s="82"/>
    </row>
    <row r="620">
      <c r="B620" s="82"/>
      <c r="C620" s="82"/>
    </row>
    <row r="621">
      <c r="B621" s="82"/>
      <c r="C621" s="82"/>
    </row>
    <row r="622">
      <c r="B622" s="82"/>
      <c r="C622" s="82"/>
    </row>
    <row r="623">
      <c r="B623" s="82"/>
      <c r="C623" s="82"/>
    </row>
    <row r="624">
      <c r="B624" s="82"/>
      <c r="C624" s="82"/>
    </row>
    <row r="625">
      <c r="B625" s="82"/>
      <c r="C625" s="82"/>
    </row>
    <row r="626">
      <c r="B626" s="82"/>
      <c r="C626" s="82"/>
    </row>
    <row r="627">
      <c r="B627" s="82"/>
      <c r="C627" s="82"/>
    </row>
    <row r="628">
      <c r="B628" s="82"/>
      <c r="C628" s="82"/>
    </row>
    <row r="629">
      <c r="B629" s="82"/>
      <c r="C629" s="82"/>
    </row>
    <row r="630">
      <c r="B630" s="82"/>
      <c r="C630" s="82"/>
    </row>
    <row r="631">
      <c r="B631" s="82"/>
      <c r="C631" s="82"/>
    </row>
    <row r="632">
      <c r="B632" s="82"/>
      <c r="C632" s="82"/>
    </row>
    <row r="633">
      <c r="B633" s="82"/>
      <c r="C633" s="82"/>
    </row>
    <row r="634">
      <c r="B634" s="82"/>
      <c r="C634" s="82"/>
    </row>
    <row r="635">
      <c r="B635" s="82"/>
      <c r="C635" s="82"/>
    </row>
    <row r="636">
      <c r="B636" s="82"/>
      <c r="C636" s="82"/>
    </row>
    <row r="637">
      <c r="B637" s="82"/>
      <c r="C637" s="82"/>
    </row>
    <row r="638">
      <c r="B638" s="82"/>
      <c r="C638" s="82"/>
    </row>
    <row r="639">
      <c r="B639" s="82"/>
      <c r="C639" s="82"/>
    </row>
    <row r="640">
      <c r="B640" s="82"/>
      <c r="C640" s="82"/>
    </row>
    <row r="641">
      <c r="B641" s="82"/>
      <c r="C641" s="82"/>
    </row>
    <row r="642">
      <c r="B642" s="82"/>
      <c r="C642" s="82"/>
    </row>
    <row r="643">
      <c r="B643" s="82"/>
      <c r="C643" s="82"/>
    </row>
    <row r="644">
      <c r="B644" s="82"/>
      <c r="C644" s="82"/>
    </row>
    <row r="645">
      <c r="B645" s="82"/>
      <c r="C645" s="82"/>
    </row>
    <row r="646">
      <c r="B646" s="82"/>
      <c r="C646" s="82"/>
    </row>
    <row r="647">
      <c r="B647" s="82"/>
      <c r="C647" s="82"/>
    </row>
    <row r="648">
      <c r="B648" s="82"/>
      <c r="C648" s="82"/>
    </row>
    <row r="649">
      <c r="B649" s="82"/>
      <c r="C649" s="82"/>
    </row>
    <row r="650">
      <c r="B650" s="82"/>
      <c r="C650" s="82"/>
    </row>
    <row r="651">
      <c r="B651" s="82"/>
      <c r="C651" s="82"/>
    </row>
    <row r="652">
      <c r="B652" s="82"/>
      <c r="C652" s="82"/>
    </row>
    <row r="653">
      <c r="B653" s="82"/>
      <c r="C653" s="82"/>
    </row>
    <row r="654">
      <c r="B654" s="82"/>
      <c r="C654" s="82"/>
    </row>
    <row r="655">
      <c r="B655" s="82"/>
      <c r="C655" s="82"/>
    </row>
    <row r="656">
      <c r="B656" s="82"/>
      <c r="C656" s="82"/>
    </row>
    <row r="657">
      <c r="B657" s="82"/>
      <c r="C657" s="82"/>
    </row>
    <row r="658">
      <c r="B658" s="82"/>
      <c r="C658" s="82"/>
    </row>
    <row r="659">
      <c r="B659" s="82"/>
      <c r="C659" s="82"/>
    </row>
    <row r="660">
      <c r="B660" s="82"/>
      <c r="C660" s="82"/>
    </row>
    <row r="661">
      <c r="B661" s="82"/>
      <c r="C661" s="82"/>
    </row>
    <row r="662">
      <c r="B662" s="82"/>
      <c r="C662" s="82"/>
    </row>
    <row r="663">
      <c r="B663" s="82"/>
      <c r="C663" s="82"/>
    </row>
    <row r="664">
      <c r="B664" s="82"/>
      <c r="C664" s="82"/>
    </row>
    <row r="665">
      <c r="B665" s="82"/>
      <c r="C665" s="82"/>
    </row>
    <row r="666">
      <c r="B666" s="82"/>
      <c r="C666" s="82"/>
    </row>
    <row r="667">
      <c r="B667" s="82"/>
      <c r="C667" s="82"/>
    </row>
    <row r="668">
      <c r="B668" s="82"/>
      <c r="C668" s="82"/>
    </row>
    <row r="669">
      <c r="B669" s="82"/>
      <c r="C669" s="82"/>
    </row>
    <row r="670">
      <c r="B670" s="82"/>
      <c r="C670" s="82"/>
    </row>
    <row r="671">
      <c r="B671" s="82"/>
      <c r="C671" s="82"/>
    </row>
    <row r="672">
      <c r="B672" s="82"/>
      <c r="C672" s="82"/>
    </row>
    <row r="673">
      <c r="B673" s="82"/>
      <c r="C673" s="82"/>
    </row>
    <row r="674">
      <c r="B674" s="82"/>
      <c r="C674" s="82"/>
    </row>
    <row r="675">
      <c r="B675" s="82"/>
      <c r="C675" s="82"/>
    </row>
    <row r="676">
      <c r="B676" s="82"/>
      <c r="C676" s="82"/>
    </row>
    <row r="677">
      <c r="B677" s="82"/>
      <c r="C677" s="82"/>
    </row>
    <row r="678">
      <c r="B678" s="82"/>
      <c r="C678" s="82"/>
    </row>
    <row r="679">
      <c r="B679" s="82"/>
      <c r="C679" s="82"/>
    </row>
    <row r="680">
      <c r="B680" s="82"/>
      <c r="C680" s="82"/>
    </row>
    <row r="681">
      <c r="B681" s="82"/>
      <c r="C681" s="82"/>
    </row>
    <row r="682">
      <c r="B682" s="82"/>
      <c r="C682" s="82"/>
    </row>
    <row r="683">
      <c r="B683" s="82"/>
      <c r="C683" s="82"/>
    </row>
    <row r="684">
      <c r="B684" s="82"/>
      <c r="C684" s="82"/>
    </row>
    <row r="685">
      <c r="B685" s="82"/>
      <c r="C685" s="82"/>
    </row>
    <row r="686">
      <c r="B686" s="82"/>
      <c r="C686" s="82"/>
    </row>
    <row r="687">
      <c r="B687" s="82"/>
      <c r="C687" s="82"/>
    </row>
    <row r="688">
      <c r="B688" s="82"/>
      <c r="C688" s="82"/>
    </row>
    <row r="689">
      <c r="B689" s="82"/>
      <c r="C689" s="82"/>
    </row>
    <row r="690">
      <c r="B690" s="82"/>
      <c r="C690" s="82"/>
    </row>
    <row r="691">
      <c r="B691" s="82"/>
      <c r="C691" s="82"/>
    </row>
    <row r="692">
      <c r="B692" s="82"/>
      <c r="C692" s="82"/>
    </row>
    <row r="693">
      <c r="B693" s="82"/>
      <c r="C693" s="82"/>
    </row>
    <row r="694">
      <c r="B694" s="82"/>
      <c r="C694" s="82"/>
    </row>
    <row r="695">
      <c r="B695" s="82"/>
      <c r="C695" s="82"/>
    </row>
    <row r="696">
      <c r="B696" s="82"/>
      <c r="C696" s="82"/>
    </row>
    <row r="697">
      <c r="B697" s="82"/>
      <c r="C697" s="82"/>
    </row>
    <row r="698">
      <c r="B698" s="82"/>
      <c r="C698" s="82"/>
    </row>
    <row r="699">
      <c r="B699" s="82"/>
      <c r="C699" s="82"/>
    </row>
    <row r="700">
      <c r="B700" s="82"/>
      <c r="C700" s="82"/>
    </row>
    <row r="701">
      <c r="B701" s="82"/>
      <c r="C701" s="82"/>
    </row>
    <row r="702">
      <c r="B702" s="82"/>
      <c r="C702" s="82"/>
    </row>
    <row r="703">
      <c r="B703" s="82"/>
      <c r="C703" s="82"/>
    </row>
    <row r="704">
      <c r="B704" s="82"/>
      <c r="C704" s="82"/>
    </row>
    <row r="705">
      <c r="B705" s="82"/>
      <c r="C705" s="82"/>
    </row>
    <row r="706">
      <c r="B706" s="82"/>
      <c r="C706" s="82"/>
    </row>
    <row r="707">
      <c r="B707" s="82"/>
      <c r="C707" s="82"/>
    </row>
    <row r="708">
      <c r="B708" s="82"/>
      <c r="C708" s="82"/>
    </row>
    <row r="709">
      <c r="B709" s="82"/>
      <c r="C709" s="82"/>
    </row>
    <row r="710">
      <c r="B710" s="82"/>
      <c r="C710" s="82"/>
    </row>
    <row r="711">
      <c r="B711" s="82"/>
      <c r="C711" s="82"/>
    </row>
    <row r="712">
      <c r="B712" s="82"/>
      <c r="C712" s="82"/>
    </row>
    <row r="713">
      <c r="B713" s="82"/>
      <c r="C713" s="82"/>
    </row>
    <row r="714">
      <c r="B714" s="82"/>
      <c r="C714" s="82"/>
    </row>
    <row r="715">
      <c r="B715" s="82"/>
      <c r="C715" s="82"/>
    </row>
    <row r="716">
      <c r="B716" s="82"/>
      <c r="C716" s="82"/>
    </row>
    <row r="717">
      <c r="B717" s="82"/>
      <c r="C717" s="82"/>
    </row>
    <row r="718">
      <c r="B718" s="82"/>
      <c r="C718" s="82"/>
    </row>
    <row r="719">
      <c r="B719" s="82"/>
      <c r="C719" s="82"/>
    </row>
    <row r="720">
      <c r="B720" s="82"/>
      <c r="C720" s="82"/>
    </row>
    <row r="721">
      <c r="B721" s="82"/>
      <c r="C721" s="82"/>
    </row>
    <row r="722">
      <c r="B722" s="82"/>
      <c r="C722" s="82"/>
    </row>
    <row r="723">
      <c r="B723" s="82"/>
      <c r="C723" s="82"/>
    </row>
    <row r="724">
      <c r="B724" s="82"/>
      <c r="C724" s="82"/>
    </row>
    <row r="725">
      <c r="B725" s="82"/>
      <c r="C725" s="82"/>
    </row>
    <row r="726">
      <c r="B726" s="82"/>
      <c r="C726" s="82"/>
    </row>
    <row r="727">
      <c r="B727" s="82"/>
      <c r="C727" s="82"/>
    </row>
    <row r="728">
      <c r="B728" s="82"/>
      <c r="C728" s="82"/>
    </row>
    <row r="729">
      <c r="B729" s="82"/>
      <c r="C729" s="82"/>
    </row>
    <row r="730">
      <c r="B730" s="82"/>
      <c r="C730" s="82"/>
    </row>
    <row r="731">
      <c r="B731" s="82"/>
      <c r="C731" s="82"/>
    </row>
    <row r="732">
      <c r="B732" s="82"/>
      <c r="C732" s="82"/>
    </row>
    <row r="733">
      <c r="B733" s="82"/>
      <c r="C733" s="82"/>
    </row>
    <row r="734">
      <c r="B734" s="82"/>
      <c r="C734" s="82"/>
    </row>
    <row r="735">
      <c r="B735" s="82"/>
      <c r="C735" s="82"/>
    </row>
    <row r="736">
      <c r="B736" s="82"/>
      <c r="C736" s="82"/>
    </row>
    <row r="737">
      <c r="B737" s="82"/>
      <c r="C737" s="82"/>
    </row>
    <row r="738">
      <c r="B738" s="82"/>
      <c r="C738" s="82"/>
    </row>
    <row r="739">
      <c r="B739" s="82"/>
      <c r="C739" s="82"/>
    </row>
    <row r="740">
      <c r="B740" s="82"/>
      <c r="C740" s="82"/>
    </row>
    <row r="741">
      <c r="B741" s="82"/>
      <c r="C741" s="82"/>
    </row>
    <row r="742">
      <c r="B742" s="82"/>
      <c r="C742" s="82"/>
    </row>
    <row r="743">
      <c r="B743" s="82"/>
      <c r="C743" s="82"/>
    </row>
    <row r="744">
      <c r="B744" s="82"/>
      <c r="C744" s="82"/>
    </row>
    <row r="745">
      <c r="B745" s="82"/>
      <c r="C745" s="82"/>
    </row>
    <row r="746">
      <c r="B746" s="82"/>
      <c r="C746" s="82"/>
    </row>
    <row r="747">
      <c r="B747" s="82"/>
      <c r="C747" s="82"/>
    </row>
    <row r="748">
      <c r="B748" s="82"/>
      <c r="C748" s="82"/>
    </row>
    <row r="749">
      <c r="B749" s="82"/>
      <c r="C749" s="82"/>
    </row>
    <row r="750">
      <c r="B750" s="82"/>
      <c r="C750" s="82"/>
    </row>
    <row r="751">
      <c r="B751" s="82"/>
      <c r="C751" s="82"/>
    </row>
    <row r="752">
      <c r="B752" s="82"/>
      <c r="C752" s="82"/>
    </row>
    <row r="753">
      <c r="B753" s="82"/>
      <c r="C753" s="82"/>
    </row>
    <row r="754">
      <c r="B754" s="82"/>
      <c r="C754" s="82"/>
    </row>
    <row r="755">
      <c r="B755" s="82"/>
      <c r="C755" s="82"/>
    </row>
    <row r="756">
      <c r="B756" s="82"/>
      <c r="C756" s="82"/>
    </row>
    <row r="757">
      <c r="B757" s="82"/>
      <c r="C757" s="82"/>
    </row>
    <row r="758">
      <c r="B758" s="82"/>
      <c r="C758" s="82"/>
    </row>
    <row r="759">
      <c r="B759" s="82"/>
      <c r="C759" s="82"/>
    </row>
    <row r="760">
      <c r="B760" s="82"/>
      <c r="C760" s="82"/>
    </row>
    <row r="761">
      <c r="B761" s="82"/>
      <c r="C761" s="82"/>
    </row>
    <row r="762">
      <c r="B762" s="82"/>
      <c r="C762" s="82"/>
    </row>
    <row r="763">
      <c r="B763" s="82"/>
      <c r="C763" s="82"/>
    </row>
    <row r="764">
      <c r="B764" s="82"/>
      <c r="C764" s="82"/>
    </row>
    <row r="765">
      <c r="B765" s="82"/>
      <c r="C765" s="82"/>
    </row>
    <row r="766">
      <c r="B766" s="82"/>
      <c r="C766" s="82"/>
    </row>
    <row r="767">
      <c r="B767" s="82"/>
      <c r="C767" s="82"/>
    </row>
    <row r="768">
      <c r="B768" s="82"/>
      <c r="C768" s="82"/>
    </row>
    <row r="769">
      <c r="B769" s="82"/>
      <c r="C769" s="82"/>
    </row>
    <row r="770">
      <c r="B770" s="82"/>
      <c r="C770" s="82"/>
    </row>
    <row r="771">
      <c r="B771" s="82"/>
      <c r="C771" s="82"/>
    </row>
    <row r="772">
      <c r="B772" s="82"/>
      <c r="C772" s="82"/>
    </row>
    <row r="773">
      <c r="B773" s="82"/>
      <c r="C773" s="82"/>
    </row>
    <row r="774">
      <c r="B774" s="82"/>
      <c r="C774" s="82"/>
    </row>
    <row r="775">
      <c r="B775" s="82"/>
      <c r="C775" s="82"/>
    </row>
    <row r="776">
      <c r="B776" s="82"/>
      <c r="C776" s="82"/>
    </row>
    <row r="777">
      <c r="B777" s="82"/>
      <c r="C777" s="82"/>
    </row>
    <row r="778">
      <c r="B778" s="82"/>
      <c r="C778" s="82"/>
    </row>
    <row r="779">
      <c r="B779" s="82"/>
      <c r="C779" s="82"/>
    </row>
    <row r="780">
      <c r="B780" s="82"/>
      <c r="C780" s="82"/>
    </row>
    <row r="781">
      <c r="B781" s="82"/>
      <c r="C781" s="82"/>
    </row>
    <row r="782">
      <c r="B782" s="82"/>
      <c r="C782" s="82"/>
    </row>
    <row r="783">
      <c r="B783" s="82"/>
      <c r="C783" s="82"/>
    </row>
    <row r="784">
      <c r="B784" s="82"/>
      <c r="C784" s="82"/>
    </row>
    <row r="785">
      <c r="B785" s="82"/>
      <c r="C785" s="82"/>
    </row>
    <row r="786">
      <c r="B786" s="82"/>
      <c r="C786" s="82"/>
    </row>
    <row r="787">
      <c r="B787" s="82"/>
      <c r="C787" s="82"/>
    </row>
    <row r="788">
      <c r="B788" s="82"/>
      <c r="C788" s="82"/>
    </row>
    <row r="789">
      <c r="B789" s="82"/>
      <c r="C789" s="82"/>
    </row>
    <row r="790">
      <c r="B790" s="82"/>
      <c r="C790" s="82"/>
    </row>
    <row r="791">
      <c r="B791" s="82"/>
      <c r="C791" s="82"/>
    </row>
    <row r="792">
      <c r="B792" s="82"/>
      <c r="C792" s="82"/>
    </row>
    <row r="793">
      <c r="B793" s="82"/>
      <c r="C793" s="82"/>
    </row>
    <row r="794">
      <c r="B794" s="82"/>
      <c r="C794" s="82"/>
    </row>
    <row r="795">
      <c r="B795" s="82"/>
      <c r="C795" s="82"/>
    </row>
    <row r="796">
      <c r="B796" s="82"/>
      <c r="C796" s="82"/>
    </row>
    <row r="797">
      <c r="B797" s="82"/>
      <c r="C797" s="82"/>
    </row>
    <row r="798">
      <c r="B798" s="82"/>
      <c r="C798" s="82"/>
    </row>
    <row r="799">
      <c r="B799" s="82"/>
      <c r="C799" s="82"/>
    </row>
    <row r="800">
      <c r="B800" s="82"/>
      <c r="C800" s="82"/>
    </row>
    <row r="801">
      <c r="B801" s="82"/>
      <c r="C801" s="82"/>
    </row>
    <row r="802">
      <c r="B802" s="82"/>
      <c r="C802" s="82"/>
    </row>
    <row r="803">
      <c r="B803" s="82"/>
      <c r="C803" s="82"/>
    </row>
    <row r="804">
      <c r="B804" s="82"/>
      <c r="C804" s="82"/>
    </row>
    <row r="805">
      <c r="B805" s="82"/>
      <c r="C805" s="82"/>
    </row>
    <row r="806">
      <c r="B806" s="82"/>
      <c r="C806" s="82"/>
    </row>
    <row r="807">
      <c r="B807" s="82"/>
      <c r="C807" s="82"/>
    </row>
    <row r="808">
      <c r="B808" s="82"/>
      <c r="C808" s="82"/>
    </row>
    <row r="809">
      <c r="B809" s="82"/>
      <c r="C809" s="82"/>
    </row>
    <row r="810">
      <c r="B810" s="82"/>
      <c r="C810" s="82"/>
    </row>
    <row r="811">
      <c r="B811" s="82"/>
      <c r="C811" s="82"/>
    </row>
    <row r="812">
      <c r="B812" s="82"/>
      <c r="C812" s="82"/>
    </row>
    <row r="813">
      <c r="B813" s="82"/>
      <c r="C813" s="82"/>
    </row>
    <row r="814">
      <c r="B814" s="82"/>
      <c r="C814" s="82"/>
    </row>
    <row r="815">
      <c r="B815" s="82"/>
      <c r="C815" s="82"/>
    </row>
    <row r="816">
      <c r="B816" s="82"/>
      <c r="C816" s="82"/>
    </row>
    <row r="817">
      <c r="B817" s="82"/>
      <c r="C817" s="82"/>
    </row>
    <row r="818">
      <c r="B818" s="82"/>
      <c r="C818" s="82"/>
    </row>
    <row r="819">
      <c r="B819" s="82"/>
      <c r="C819" s="82"/>
    </row>
    <row r="820">
      <c r="B820" s="82"/>
      <c r="C820" s="82"/>
    </row>
    <row r="821">
      <c r="B821" s="82"/>
      <c r="C821" s="82"/>
    </row>
    <row r="822">
      <c r="B822" s="82"/>
      <c r="C822" s="82"/>
    </row>
    <row r="823">
      <c r="B823" s="82"/>
      <c r="C823" s="82"/>
    </row>
    <row r="824">
      <c r="B824" s="82"/>
      <c r="C824" s="82"/>
    </row>
    <row r="825">
      <c r="B825" s="82"/>
      <c r="C825" s="82"/>
    </row>
    <row r="826">
      <c r="B826" s="82"/>
      <c r="C826" s="82"/>
    </row>
    <row r="827">
      <c r="B827" s="82"/>
      <c r="C827" s="82"/>
    </row>
    <row r="828">
      <c r="B828" s="82"/>
      <c r="C828" s="82"/>
    </row>
    <row r="829">
      <c r="B829" s="82"/>
      <c r="C829" s="82"/>
    </row>
    <row r="830">
      <c r="B830" s="82"/>
      <c r="C830" s="82"/>
    </row>
    <row r="831">
      <c r="B831" s="82"/>
      <c r="C831" s="82"/>
    </row>
    <row r="832">
      <c r="B832" s="82"/>
      <c r="C832" s="82"/>
    </row>
    <row r="833">
      <c r="B833" s="82"/>
      <c r="C833" s="82"/>
    </row>
    <row r="834">
      <c r="B834" s="82"/>
      <c r="C834" s="82"/>
    </row>
    <row r="835">
      <c r="B835" s="82"/>
      <c r="C835" s="82"/>
    </row>
    <row r="836">
      <c r="B836" s="82"/>
      <c r="C836" s="82"/>
    </row>
    <row r="837">
      <c r="B837" s="82"/>
      <c r="C837" s="82"/>
    </row>
    <row r="838">
      <c r="B838" s="82"/>
      <c r="C838" s="82"/>
    </row>
    <row r="839">
      <c r="B839" s="82"/>
      <c r="C839" s="82"/>
    </row>
    <row r="840">
      <c r="B840" s="82"/>
      <c r="C840" s="82"/>
    </row>
    <row r="841">
      <c r="B841" s="82"/>
      <c r="C841" s="82"/>
    </row>
    <row r="842">
      <c r="B842" s="82"/>
      <c r="C842" s="82"/>
    </row>
    <row r="843">
      <c r="B843" s="82"/>
      <c r="C843" s="82"/>
    </row>
    <row r="844">
      <c r="B844" s="82"/>
      <c r="C844" s="82"/>
    </row>
    <row r="845">
      <c r="B845" s="82"/>
      <c r="C845" s="82"/>
    </row>
    <row r="846">
      <c r="B846" s="82"/>
      <c r="C846" s="82"/>
    </row>
    <row r="847">
      <c r="B847" s="82"/>
      <c r="C847" s="82"/>
    </row>
    <row r="848">
      <c r="B848" s="82"/>
      <c r="C848" s="82"/>
    </row>
    <row r="849">
      <c r="B849" s="82"/>
      <c r="C849" s="82"/>
    </row>
    <row r="850">
      <c r="B850" s="82"/>
      <c r="C850" s="82"/>
    </row>
    <row r="851">
      <c r="B851" s="82"/>
      <c r="C851" s="82"/>
    </row>
    <row r="852">
      <c r="B852" s="82"/>
      <c r="C852" s="82"/>
    </row>
    <row r="853">
      <c r="B853" s="82"/>
      <c r="C853" s="82"/>
    </row>
    <row r="854">
      <c r="B854" s="82"/>
      <c r="C854" s="82"/>
    </row>
    <row r="855">
      <c r="B855" s="82"/>
      <c r="C855" s="82"/>
    </row>
    <row r="856">
      <c r="B856" s="82"/>
      <c r="C856" s="82"/>
    </row>
    <row r="857">
      <c r="B857" s="82"/>
      <c r="C857" s="82"/>
    </row>
    <row r="858">
      <c r="B858" s="82"/>
      <c r="C858" s="82"/>
    </row>
    <row r="859">
      <c r="B859" s="82"/>
      <c r="C859" s="82"/>
    </row>
    <row r="860">
      <c r="B860" s="82"/>
      <c r="C860" s="82"/>
    </row>
    <row r="861">
      <c r="B861" s="82"/>
      <c r="C861" s="82"/>
    </row>
    <row r="862">
      <c r="B862" s="82"/>
      <c r="C862" s="82"/>
    </row>
    <row r="863">
      <c r="B863" s="82"/>
      <c r="C863" s="82"/>
    </row>
    <row r="864">
      <c r="B864" s="82"/>
      <c r="C864" s="82"/>
    </row>
    <row r="865">
      <c r="B865" s="82"/>
      <c r="C865" s="82"/>
    </row>
    <row r="866">
      <c r="B866" s="82"/>
      <c r="C866" s="82"/>
    </row>
    <row r="867">
      <c r="B867" s="82"/>
      <c r="C867" s="82"/>
    </row>
    <row r="868">
      <c r="B868" s="82"/>
      <c r="C868" s="82"/>
    </row>
    <row r="869">
      <c r="B869" s="82"/>
      <c r="C869" s="82"/>
    </row>
    <row r="870">
      <c r="B870" s="82"/>
      <c r="C870" s="82"/>
    </row>
    <row r="871">
      <c r="B871" s="82"/>
      <c r="C871" s="82"/>
    </row>
    <row r="872">
      <c r="B872" s="82"/>
      <c r="C872" s="82"/>
    </row>
    <row r="873">
      <c r="B873" s="82"/>
      <c r="C873" s="82"/>
    </row>
    <row r="874">
      <c r="B874" s="82"/>
      <c r="C874" s="82"/>
    </row>
    <row r="875">
      <c r="B875" s="82"/>
      <c r="C875" s="82"/>
    </row>
    <row r="876">
      <c r="B876" s="82"/>
      <c r="C876" s="82"/>
    </row>
    <row r="877">
      <c r="B877" s="82"/>
      <c r="C877" s="82"/>
    </row>
    <row r="878">
      <c r="B878" s="82"/>
      <c r="C878" s="82"/>
    </row>
    <row r="879">
      <c r="B879" s="82"/>
      <c r="C879" s="82"/>
    </row>
    <row r="880">
      <c r="B880" s="82"/>
      <c r="C880" s="82"/>
    </row>
    <row r="881">
      <c r="B881" s="82"/>
      <c r="C881" s="82"/>
    </row>
    <row r="882">
      <c r="B882" s="82"/>
      <c r="C882" s="82"/>
    </row>
    <row r="883">
      <c r="B883" s="82"/>
      <c r="C883" s="82"/>
    </row>
    <row r="884">
      <c r="B884" s="82"/>
      <c r="C884" s="82"/>
    </row>
    <row r="885">
      <c r="B885" s="82"/>
      <c r="C885" s="82"/>
    </row>
    <row r="886">
      <c r="B886" s="82"/>
      <c r="C886" s="82"/>
    </row>
    <row r="887">
      <c r="B887" s="82"/>
      <c r="C887" s="82"/>
    </row>
    <row r="888">
      <c r="B888" s="82"/>
      <c r="C888" s="82"/>
    </row>
    <row r="889">
      <c r="B889" s="82"/>
      <c r="C889" s="82"/>
    </row>
    <row r="890">
      <c r="B890" s="82"/>
      <c r="C890" s="82"/>
    </row>
    <row r="891">
      <c r="B891" s="82"/>
      <c r="C891" s="82"/>
    </row>
    <row r="892">
      <c r="B892" s="82"/>
      <c r="C892" s="82"/>
    </row>
    <row r="893">
      <c r="B893" s="82"/>
      <c r="C893" s="82"/>
    </row>
    <row r="894">
      <c r="B894" s="82"/>
      <c r="C894" s="82"/>
    </row>
    <row r="895">
      <c r="B895" s="82"/>
      <c r="C895" s="82"/>
    </row>
    <row r="896">
      <c r="B896" s="82"/>
      <c r="C896" s="82"/>
    </row>
    <row r="897">
      <c r="B897" s="82"/>
      <c r="C897" s="82"/>
    </row>
    <row r="898">
      <c r="B898" s="82"/>
      <c r="C898" s="82"/>
    </row>
    <row r="899">
      <c r="B899" s="82"/>
      <c r="C899" s="82"/>
    </row>
    <row r="900">
      <c r="B900" s="82"/>
      <c r="C900" s="82"/>
    </row>
    <row r="901">
      <c r="B901" s="82"/>
      <c r="C901" s="82"/>
    </row>
    <row r="902">
      <c r="B902" s="82"/>
      <c r="C902" s="82"/>
    </row>
    <row r="903">
      <c r="B903" s="82"/>
      <c r="C903" s="82"/>
    </row>
    <row r="904">
      <c r="B904" s="82"/>
      <c r="C904" s="82"/>
    </row>
    <row r="905">
      <c r="B905" s="82"/>
      <c r="C905" s="82"/>
    </row>
    <row r="906">
      <c r="B906" s="82"/>
      <c r="C906" s="82"/>
    </row>
    <row r="907">
      <c r="B907" s="82"/>
      <c r="C907" s="82"/>
    </row>
    <row r="908">
      <c r="B908" s="82"/>
      <c r="C908" s="82"/>
    </row>
    <row r="909">
      <c r="B909" s="82"/>
      <c r="C909" s="82"/>
    </row>
    <row r="910">
      <c r="B910" s="82"/>
      <c r="C910" s="82"/>
    </row>
    <row r="911">
      <c r="B911" s="82"/>
      <c r="C911" s="82"/>
    </row>
    <row r="912">
      <c r="B912" s="82"/>
      <c r="C912" s="82"/>
    </row>
    <row r="913">
      <c r="B913" s="82"/>
      <c r="C913" s="82"/>
    </row>
    <row r="914">
      <c r="B914" s="82"/>
      <c r="C914" s="82"/>
    </row>
    <row r="915">
      <c r="B915" s="82"/>
      <c r="C915" s="82"/>
    </row>
    <row r="916">
      <c r="B916" s="82"/>
      <c r="C916" s="82"/>
    </row>
    <row r="917">
      <c r="B917" s="82"/>
      <c r="C917" s="82"/>
    </row>
    <row r="918">
      <c r="B918" s="82"/>
      <c r="C918" s="82"/>
    </row>
    <row r="919">
      <c r="B919" s="82"/>
      <c r="C919" s="82"/>
    </row>
    <row r="920">
      <c r="B920" s="82"/>
      <c r="C920" s="82"/>
    </row>
    <row r="921">
      <c r="B921" s="82"/>
      <c r="C921" s="82"/>
    </row>
    <row r="922">
      <c r="B922" s="82"/>
      <c r="C922" s="82"/>
    </row>
    <row r="923">
      <c r="B923" s="82"/>
      <c r="C923" s="82"/>
    </row>
    <row r="924">
      <c r="B924" s="82"/>
      <c r="C924" s="82"/>
    </row>
    <row r="925">
      <c r="B925" s="82"/>
      <c r="C925" s="82"/>
    </row>
    <row r="926">
      <c r="B926" s="82"/>
      <c r="C926" s="82"/>
    </row>
    <row r="927">
      <c r="B927" s="82"/>
      <c r="C927" s="82"/>
    </row>
    <row r="928">
      <c r="B928" s="82"/>
      <c r="C928" s="82"/>
    </row>
    <row r="929">
      <c r="B929" s="82"/>
      <c r="C929" s="82"/>
    </row>
    <row r="930">
      <c r="B930" s="82"/>
      <c r="C930" s="82"/>
    </row>
    <row r="931">
      <c r="B931" s="82"/>
      <c r="C931" s="82"/>
    </row>
    <row r="932">
      <c r="B932" s="82"/>
      <c r="C932" s="82"/>
    </row>
    <row r="933">
      <c r="B933" s="82"/>
      <c r="C933" s="82"/>
    </row>
    <row r="934">
      <c r="B934" s="82"/>
      <c r="C934" s="82"/>
    </row>
    <row r="935">
      <c r="B935" s="82"/>
      <c r="C935" s="82"/>
    </row>
    <row r="936">
      <c r="B936" s="82"/>
      <c r="C936" s="82"/>
    </row>
    <row r="937">
      <c r="B937" s="82"/>
      <c r="C937" s="82"/>
    </row>
    <row r="938">
      <c r="B938" s="82"/>
      <c r="C938" s="82"/>
    </row>
    <row r="939">
      <c r="B939" s="82"/>
      <c r="C939" s="82"/>
    </row>
    <row r="940">
      <c r="B940" s="82"/>
      <c r="C940" s="82"/>
    </row>
    <row r="941">
      <c r="B941" s="82"/>
      <c r="C941" s="82"/>
    </row>
    <row r="942">
      <c r="B942" s="82"/>
      <c r="C942" s="82"/>
    </row>
    <row r="943">
      <c r="B943" s="82"/>
      <c r="C943" s="82"/>
    </row>
    <row r="944">
      <c r="B944" s="82"/>
      <c r="C944" s="82"/>
    </row>
    <row r="945">
      <c r="B945" s="82"/>
      <c r="C945" s="82"/>
    </row>
    <row r="946">
      <c r="B946" s="82"/>
      <c r="C946" s="82"/>
    </row>
    <row r="947">
      <c r="B947" s="82"/>
      <c r="C947" s="82"/>
    </row>
    <row r="948">
      <c r="B948" s="82"/>
      <c r="C948" s="82"/>
    </row>
    <row r="949">
      <c r="B949" s="82"/>
      <c r="C949" s="82"/>
    </row>
    <row r="950">
      <c r="B950" s="82"/>
      <c r="C950" s="82"/>
    </row>
    <row r="951">
      <c r="B951" s="82"/>
      <c r="C951" s="82"/>
    </row>
    <row r="952">
      <c r="B952" s="82"/>
      <c r="C952" s="82"/>
    </row>
    <row r="953">
      <c r="B953" s="82"/>
      <c r="C953" s="82"/>
    </row>
    <row r="954">
      <c r="B954" s="82"/>
      <c r="C954" s="82"/>
    </row>
    <row r="955">
      <c r="B955" s="82"/>
      <c r="C955" s="82"/>
    </row>
    <row r="956">
      <c r="B956" s="82"/>
      <c r="C956" s="82"/>
    </row>
    <row r="957">
      <c r="B957" s="82"/>
      <c r="C957" s="82"/>
    </row>
    <row r="958">
      <c r="B958" s="82"/>
      <c r="C958" s="82"/>
    </row>
    <row r="959">
      <c r="B959" s="82"/>
      <c r="C959" s="82"/>
    </row>
    <row r="960">
      <c r="B960" s="82"/>
      <c r="C960" s="82"/>
    </row>
    <row r="961">
      <c r="B961" s="82"/>
      <c r="C961" s="82"/>
    </row>
    <row r="962">
      <c r="B962" s="82"/>
      <c r="C962" s="82"/>
    </row>
    <row r="963">
      <c r="B963" s="82"/>
      <c r="C963" s="82"/>
    </row>
    <row r="964">
      <c r="B964" s="82"/>
      <c r="C964" s="82"/>
    </row>
    <row r="965">
      <c r="B965" s="82"/>
      <c r="C965" s="82"/>
    </row>
    <row r="966">
      <c r="B966" s="82"/>
      <c r="C966" s="82"/>
    </row>
    <row r="967">
      <c r="B967" s="82"/>
      <c r="C967" s="82"/>
    </row>
    <row r="968">
      <c r="B968" s="82"/>
      <c r="C968" s="82"/>
    </row>
    <row r="969">
      <c r="B969" s="82"/>
      <c r="C969" s="82"/>
    </row>
    <row r="970">
      <c r="B970" s="82"/>
      <c r="C970" s="82"/>
    </row>
    <row r="971">
      <c r="B971" s="82"/>
      <c r="C971" s="82"/>
    </row>
    <row r="972">
      <c r="B972" s="82"/>
      <c r="C972" s="82"/>
    </row>
    <row r="973">
      <c r="B973" s="82"/>
      <c r="C973" s="82"/>
    </row>
    <row r="974">
      <c r="B974" s="82"/>
      <c r="C974" s="82"/>
    </row>
    <row r="975">
      <c r="B975" s="82"/>
      <c r="C975" s="82"/>
    </row>
    <row r="976">
      <c r="B976" s="82"/>
      <c r="C976" s="82"/>
    </row>
    <row r="977">
      <c r="B977" s="82"/>
      <c r="C977" s="82"/>
    </row>
    <row r="978">
      <c r="B978" s="82"/>
      <c r="C978" s="82"/>
    </row>
    <row r="979">
      <c r="B979" s="82"/>
      <c r="C979" s="82"/>
    </row>
    <row r="980">
      <c r="B980" s="82"/>
      <c r="C980" s="82"/>
    </row>
    <row r="981">
      <c r="B981" s="82"/>
      <c r="C981" s="82"/>
    </row>
    <row r="982">
      <c r="B982" s="82"/>
      <c r="C982" s="82"/>
    </row>
    <row r="983">
      <c r="B983" s="82"/>
      <c r="C983" s="82"/>
    </row>
    <row r="984">
      <c r="B984" s="82"/>
      <c r="C984" s="82"/>
    </row>
    <row r="985">
      <c r="B985" s="82"/>
      <c r="C985" s="82"/>
    </row>
    <row r="986">
      <c r="B986" s="82"/>
      <c r="C986" s="82"/>
    </row>
    <row r="987">
      <c r="B987" s="82"/>
      <c r="C987" s="82"/>
    </row>
    <row r="988">
      <c r="B988" s="82"/>
      <c r="C988" s="82"/>
    </row>
    <row r="989">
      <c r="B989" s="82"/>
      <c r="C989" s="82"/>
    </row>
    <row r="990">
      <c r="B990" s="82"/>
      <c r="C990" s="82"/>
    </row>
    <row r="991">
      <c r="B991" s="82"/>
      <c r="C991" s="82"/>
    </row>
    <row r="992">
      <c r="B992" s="82"/>
      <c r="C992" s="82"/>
    </row>
    <row r="993">
      <c r="B993" s="82"/>
      <c r="C993" s="82"/>
    </row>
    <row r="994">
      <c r="B994" s="82"/>
      <c r="C994" s="82"/>
    </row>
    <row r="995">
      <c r="B995" s="82"/>
      <c r="C995" s="82"/>
    </row>
    <row r="996">
      <c r="B996" s="82"/>
      <c r="C996" s="82"/>
    </row>
    <row r="997">
      <c r="B997" s="82"/>
      <c r="C997" s="82"/>
    </row>
    <row r="998">
      <c r="B998" s="82"/>
      <c r="C998" s="82"/>
    </row>
    <row r="999">
      <c r="B999" s="82"/>
      <c r="C999" s="82"/>
    </row>
    <row r="1000">
      <c r="B1000" s="82"/>
      <c r="C1000" s="82"/>
    </row>
    <row r="1001">
      <c r="B1001" s="82"/>
      <c r="C1001" s="82"/>
    </row>
    <row r="1002">
      <c r="B1002" s="82"/>
      <c r="C1002" s="82"/>
    </row>
    <row r="1003">
      <c r="B1003" s="82"/>
      <c r="C1003" s="82"/>
    </row>
    <row r="1004">
      <c r="B1004" s="82"/>
      <c r="C1004" s="82"/>
    </row>
    <row r="1005">
      <c r="B1005" s="82"/>
      <c r="C1005" s="82"/>
    </row>
    <row r="1006">
      <c r="B1006" s="82"/>
      <c r="C1006" s="82"/>
    </row>
    <row r="1007">
      <c r="B1007" s="82"/>
      <c r="C1007" s="82"/>
    </row>
    <row r="1008">
      <c r="B1008" s="82"/>
      <c r="C1008" s="82"/>
    </row>
  </sheetData>
  <mergeCells count="2">
    <mergeCell ref="A1:J1"/>
    <mergeCell ref="K3:L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1.0"/>
    <col customWidth="1" min="5" max="6" width="6.13"/>
    <col customWidth="1" min="10" max="10" width="47.75"/>
  </cols>
  <sheetData>
    <row r="1">
      <c r="A1" s="189" t="s">
        <v>202</v>
      </c>
    </row>
    <row r="2">
      <c r="A2" s="167"/>
      <c r="B2" s="159"/>
      <c r="C2" s="160"/>
      <c r="G2" s="168"/>
    </row>
    <row r="3">
      <c r="A3" s="167" t="s">
        <v>180</v>
      </c>
      <c r="B3" s="159"/>
      <c r="C3" s="160"/>
      <c r="G3" s="168" t="s">
        <v>181</v>
      </c>
    </row>
    <row r="4">
      <c r="B4" s="169">
        <f t="shared" ref="B4:C4" si="1">SUM(B6:B8)</f>
        <v>1</v>
      </c>
      <c r="C4" s="155">
        <f t="shared" si="1"/>
        <v>22000</v>
      </c>
      <c r="G4" s="40"/>
      <c r="H4" s="170">
        <f t="shared" ref="H4:I4" si="2">SUM(H6:H17)</f>
        <v>1</v>
      </c>
      <c r="I4" s="160">
        <f t="shared" si="2"/>
        <v>22000</v>
      </c>
    </row>
    <row r="5">
      <c r="A5" s="171" t="s">
        <v>182</v>
      </c>
      <c r="B5" s="171" t="s">
        <v>183</v>
      </c>
      <c r="C5" s="171" t="s">
        <v>198</v>
      </c>
      <c r="D5" s="171" t="s">
        <v>199</v>
      </c>
      <c r="G5" s="171" t="s">
        <v>83</v>
      </c>
      <c r="H5" s="172" t="s">
        <v>183</v>
      </c>
      <c r="I5" s="153" t="s">
        <v>86</v>
      </c>
    </row>
    <row r="6">
      <c r="A6" s="173" t="s">
        <v>105</v>
      </c>
      <c r="B6" s="174">
        <f t="shared" ref="B6:B8" si="3">C6/$C$4</f>
        <v>0.8636363636</v>
      </c>
      <c r="C6" s="175">
        <v>19000.0</v>
      </c>
      <c r="D6" s="175">
        <v>19000.0</v>
      </c>
      <c r="G6" s="173" t="s">
        <v>185</v>
      </c>
      <c r="H6" s="176">
        <f>1-SUM(H7:H17)</f>
        <v>0.1637681818</v>
      </c>
      <c r="I6" s="177">
        <f t="shared" ref="I6:I7" si="4">$C$4*H6</f>
        <v>3602.9</v>
      </c>
      <c r="J6" s="178"/>
    </row>
    <row r="7">
      <c r="A7" s="173" t="s">
        <v>45</v>
      </c>
      <c r="B7" s="174">
        <f t="shared" si="3"/>
        <v>0.1363636364</v>
      </c>
      <c r="C7" s="175">
        <v>3000.0</v>
      </c>
      <c r="D7" s="175">
        <v>3000.0</v>
      </c>
      <c r="G7" s="173" t="s">
        <v>92</v>
      </c>
      <c r="H7" s="176">
        <v>0.0868</v>
      </c>
      <c r="I7" s="177">
        <f t="shared" si="4"/>
        <v>1909.6</v>
      </c>
      <c r="J7" s="173" t="s">
        <v>203</v>
      </c>
    </row>
    <row r="8">
      <c r="A8" s="173" t="s">
        <v>118</v>
      </c>
      <c r="B8" s="174">
        <f t="shared" si="3"/>
        <v>0</v>
      </c>
      <c r="C8" s="175"/>
      <c r="D8" s="175"/>
      <c r="E8" s="185"/>
      <c r="G8" s="173" t="s">
        <v>120</v>
      </c>
      <c r="H8" s="176">
        <f t="shared" ref="H8:H17" si="5">I8/$C$4</f>
        <v>0.04545454545</v>
      </c>
      <c r="I8" s="175">
        <v>1000.0</v>
      </c>
      <c r="J8" s="173" t="s">
        <v>204</v>
      </c>
    </row>
    <row r="9">
      <c r="G9" s="173" t="s">
        <v>130</v>
      </c>
      <c r="H9" s="176">
        <f t="shared" si="5"/>
        <v>0.09125</v>
      </c>
      <c r="I9" s="177">
        <v>2007.4999999999998</v>
      </c>
      <c r="J9" s="178"/>
    </row>
    <row r="10" ht="36.0" customHeight="1">
      <c r="G10" s="173" t="s">
        <v>188</v>
      </c>
      <c r="H10" s="176">
        <f t="shared" si="5"/>
        <v>0.00375</v>
      </c>
      <c r="I10" s="177">
        <v>82.5</v>
      </c>
      <c r="J10" s="173" t="s">
        <v>189</v>
      </c>
    </row>
    <row r="11">
      <c r="G11" s="173" t="s">
        <v>141</v>
      </c>
      <c r="H11" s="176">
        <f t="shared" si="5"/>
        <v>0.02522727273</v>
      </c>
      <c r="I11" s="175">
        <v>555.0</v>
      </c>
      <c r="J11" s="173" t="s">
        <v>205</v>
      </c>
    </row>
    <row r="12">
      <c r="G12" s="173" t="s">
        <v>107</v>
      </c>
      <c r="H12" s="176">
        <f t="shared" si="5"/>
        <v>0</v>
      </c>
      <c r="I12" s="177">
        <v>0.0</v>
      </c>
      <c r="J12" s="178"/>
    </row>
    <row r="13">
      <c r="G13" s="173" t="s">
        <v>124</v>
      </c>
      <c r="H13" s="176">
        <f t="shared" si="5"/>
        <v>0.0125</v>
      </c>
      <c r="I13" s="177">
        <v>275.0</v>
      </c>
      <c r="J13" s="173" t="s">
        <v>191</v>
      </c>
    </row>
    <row r="14">
      <c r="G14" s="173" t="s">
        <v>99</v>
      </c>
      <c r="H14" s="176">
        <f t="shared" si="5"/>
        <v>0.08125</v>
      </c>
      <c r="I14" s="177">
        <v>1787.5</v>
      </c>
      <c r="J14" s="173" t="s">
        <v>192</v>
      </c>
    </row>
    <row r="15">
      <c r="G15" s="173" t="s">
        <v>111</v>
      </c>
      <c r="H15" s="176">
        <f t="shared" si="5"/>
        <v>0.15</v>
      </c>
      <c r="I15" s="177">
        <v>3300.0</v>
      </c>
      <c r="J15" s="173" t="s">
        <v>193</v>
      </c>
    </row>
    <row r="16">
      <c r="G16" s="173" t="s">
        <v>109</v>
      </c>
      <c r="H16" s="176">
        <f t="shared" si="5"/>
        <v>0.18125</v>
      </c>
      <c r="I16" s="177">
        <v>3987.4999999999995</v>
      </c>
      <c r="J16" s="173" t="s">
        <v>194</v>
      </c>
    </row>
    <row r="17">
      <c r="G17" s="173" t="s">
        <v>135</v>
      </c>
      <c r="H17" s="176">
        <f t="shared" si="5"/>
        <v>0.15875</v>
      </c>
      <c r="I17" s="177">
        <v>3492.5</v>
      </c>
      <c r="J17" s="173" t="s">
        <v>195</v>
      </c>
    </row>
    <row r="20">
      <c r="B20" s="82"/>
      <c r="C20" s="82"/>
    </row>
    <row r="21">
      <c r="B21" s="82"/>
      <c r="C21" s="82"/>
    </row>
    <row r="22">
      <c r="B22" s="82"/>
      <c r="C22" s="82"/>
    </row>
    <row r="23">
      <c r="B23" s="82"/>
      <c r="C23" s="82"/>
    </row>
    <row r="24">
      <c r="B24" s="82"/>
      <c r="C24" s="82"/>
    </row>
    <row r="25">
      <c r="B25" s="82"/>
      <c r="C25" s="82"/>
    </row>
    <row r="26">
      <c r="B26" s="82"/>
      <c r="C26" s="82"/>
    </row>
    <row r="27">
      <c r="B27" s="82"/>
      <c r="C27" s="82"/>
    </row>
    <row r="28">
      <c r="B28" s="82"/>
      <c r="C28" s="82"/>
    </row>
    <row r="29">
      <c r="B29" s="82"/>
      <c r="C29" s="82"/>
    </row>
    <row r="30">
      <c r="B30" s="82"/>
      <c r="C30" s="82"/>
    </row>
    <row r="31">
      <c r="B31" s="82"/>
      <c r="C31" s="82"/>
    </row>
    <row r="32">
      <c r="B32" s="82"/>
      <c r="C32" s="82"/>
    </row>
    <row r="33">
      <c r="B33" s="82"/>
      <c r="C33" s="82"/>
    </row>
    <row r="34">
      <c r="B34" s="82"/>
      <c r="C34" s="82"/>
    </row>
    <row r="35">
      <c r="B35" s="82"/>
      <c r="C35" s="82"/>
    </row>
    <row r="36">
      <c r="B36" s="82"/>
      <c r="C36" s="82"/>
    </row>
    <row r="37">
      <c r="B37" s="82"/>
      <c r="C37" s="82"/>
    </row>
    <row r="38">
      <c r="B38" s="82"/>
      <c r="C38" s="82"/>
    </row>
    <row r="39">
      <c r="B39" s="82"/>
      <c r="C39" s="82"/>
    </row>
    <row r="40">
      <c r="B40" s="82"/>
      <c r="C40" s="82"/>
    </row>
    <row r="41">
      <c r="B41" s="82"/>
      <c r="C41" s="82"/>
    </row>
    <row r="42">
      <c r="B42" s="82"/>
      <c r="C42" s="82"/>
    </row>
    <row r="43">
      <c r="B43" s="82"/>
      <c r="C43" s="82"/>
    </row>
    <row r="44">
      <c r="B44" s="82"/>
      <c r="C44" s="82"/>
    </row>
    <row r="45">
      <c r="B45" s="82"/>
      <c r="C45" s="82"/>
    </row>
    <row r="46">
      <c r="B46" s="82"/>
      <c r="C46" s="82"/>
    </row>
    <row r="47">
      <c r="B47" s="82"/>
      <c r="C47" s="82"/>
    </row>
    <row r="48">
      <c r="B48" s="82"/>
      <c r="C48" s="82"/>
    </row>
    <row r="49">
      <c r="B49" s="82"/>
      <c r="C49" s="82"/>
    </row>
    <row r="50">
      <c r="B50" s="82"/>
      <c r="C50" s="82"/>
    </row>
    <row r="51">
      <c r="B51" s="82"/>
      <c r="C51" s="82"/>
    </row>
    <row r="52">
      <c r="B52" s="82"/>
      <c r="C52" s="82"/>
    </row>
    <row r="53">
      <c r="B53" s="82"/>
      <c r="C53" s="82"/>
    </row>
    <row r="54">
      <c r="B54" s="82"/>
      <c r="C54" s="82"/>
    </row>
    <row r="55">
      <c r="B55" s="82"/>
      <c r="C55" s="82"/>
    </row>
    <row r="56">
      <c r="B56" s="82"/>
      <c r="C56" s="82"/>
    </row>
    <row r="57">
      <c r="B57" s="82"/>
      <c r="C57" s="82"/>
    </row>
    <row r="58">
      <c r="B58" s="82"/>
      <c r="C58" s="82"/>
    </row>
    <row r="59">
      <c r="B59" s="82"/>
      <c r="C59" s="82"/>
    </row>
    <row r="60">
      <c r="B60" s="82"/>
      <c r="C60" s="82"/>
    </row>
    <row r="61">
      <c r="B61" s="82"/>
      <c r="C61" s="82"/>
    </row>
    <row r="62">
      <c r="B62" s="82"/>
      <c r="C62" s="82"/>
    </row>
    <row r="63">
      <c r="B63" s="82"/>
      <c r="C63" s="82"/>
    </row>
    <row r="64">
      <c r="B64" s="82"/>
      <c r="C64" s="82"/>
    </row>
    <row r="65">
      <c r="B65" s="82"/>
      <c r="C65" s="82"/>
    </row>
    <row r="66">
      <c r="B66" s="82"/>
      <c r="C66" s="82"/>
    </row>
    <row r="67">
      <c r="B67" s="82"/>
      <c r="C67" s="82"/>
    </row>
    <row r="68">
      <c r="B68" s="82"/>
      <c r="C68" s="82"/>
    </row>
    <row r="69">
      <c r="B69" s="82"/>
      <c r="C69" s="82"/>
    </row>
    <row r="70">
      <c r="B70" s="82"/>
      <c r="C70" s="82"/>
    </row>
    <row r="71">
      <c r="B71" s="82"/>
      <c r="C71" s="82"/>
    </row>
    <row r="72">
      <c r="B72" s="82"/>
      <c r="C72" s="82"/>
    </row>
    <row r="73">
      <c r="B73" s="82"/>
      <c r="C73" s="82"/>
    </row>
    <row r="74">
      <c r="B74" s="82"/>
      <c r="C74" s="82"/>
    </row>
    <row r="75">
      <c r="B75" s="82"/>
      <c r="C75" s="82"/>
    </row>
    <row r="76">
      <c r="B76" s="82"/>
      <c r="C76" s="82"/>
    </row>
    <row r="77">
      <c r="B77" s="82"/>
      <c r="C77" s="82"/>
    </row>
    <row r="78">
      <c r="B78" s="82"/>
      <c r="C78" s="82"/>
    </row>
    <row r="79">
      <c r="B79" s="82"/>
      <c r="C79" s="82"/>
    </row>
    <row r="80">
      <c r="B80" s="82"/>
      <c r="C80" s="82"/>
    </row>
    <row r="81">
      <c r="B81" s="82"/>
      <c r="C81" s="82"/>
    </row>
    <row r="82">
      <c r="B82" s="82"/>
      <c r="C82" s="82"/>
    </row>
    <row r="83">
      <c r="B83" s="82"/>
      <c r="C83" s="82"/>
    </row>
    <row r="84">
      <c r="B84" s="82"/>
      <c r="C84" s="82"/>
    </row>
    <row r="85">
      <c r="B85" s="82"/>
      <c r="C85" s="82"/>
    </row>
    <row r="86">
      <c r="B86" s="82"/>
      <c r="C86" s="82"/>
    </row>
    <row r="87">
      <c r="B87" s="82"/>
      <c r="C87" s="82"/>
    </row>
    <row r="88">
      <c r="B88" s="82"/>
      <c r="C88" s="82"/>
    </row>
    <row r="89">
      <c r="B89" s="82"/>
      <c r="C89" s="82"/>
    </row>
    <row r="90">
      <c r="B90" s="82"/>
      <c r="C90" s="82"/>
    </row>
    <row r="91">
      <c r="B91" s="82"/>
      <c r="C91" s="82"/>
    </row>
    <row r="92">
      <c r="B92" s="82"/>
      <c r="C92" s="82"/>
    </row>
    <row r="93">
      <c r="B93" s="82"/>
      <c r="C93" s="82"/>
    </row>
    <row r="94">
      <c r="B94" s="82"/>
      <c r="C94" s="82"/>
    </row>
    <row r="95">
      <c r="B95" s="82"/>
      <c r="C95" s="82"/>
    </row>
    <row r="96">
      <c r="B96" s="82"/>
      <c r="C96" s="82"/>
    </row>
    <row r="97">
      <c r="B97" s="82"/>
      <c r="C97" s="82"/>
    </row>
    <row r="98">
      <c r="B98" s="82"/>
      <c r="C98" s="82"/>
    </row>
    <row r="99">
      <c r="B99" s="82"/>
      <c r="C99" s="82"/>
    </row>
    <row r="100">
      <c r="B100" s="82"/>
      <c r="C100" s="82"/>
    </row>
    <row r="101">
      <c r="B101" s="82"/>
      <c r="C101" s="82"/>
    </row>
    <row r="102">
      <c r="B102" s="82"/>
      <c r="C102" s="82"/>
    </row>
    <row r="103">
      <c r="B103" s="82"/>
      <c r="C103" s="82"/>
    </row>
    <row r="104">
      <c r="B104" s="82"/>
      <c r="C104" s="82"/>
    </row>
    <row r="105">
      <c r="B105" s="82"/>
      <c r="C105" s="82"/>
    </row>
    <row r="106">
      <c r="B106" s="82"/>
      <c r="C106" s="82"/>
    </row>
    <row r="107">
      <c r="B107" s="82"/>
      <c r="C107" s="82"/>
    </row>
    <row r="108">
      <c r="B108" s="82"/>
      <c r="C108" s="82"/>
    </row>
    <row r="109">
      <c r="B109" s="82"/>
      <c r="C109" s="82"/>
    </row>
    <row r="110">
      <c r="B110" s="82"/>
      <c r="C110" s="82"/>
    </row>
    <row r="111">
      <c r="B111" s="82"/>
      <c r="C111" s="82"/>
    </row>
    <row r="112">
      <c r="B112" s="82"/>
      <c r="C112" s="82"/>
    </row>
    <row r="113">
      <c r="B113" s="82"/>
      <c r="C113" s="82"/>
    </row>
    <row r="114">
      <c r="B114" s="82"/>
      <c r="C114" s="82"/>
    </row>
    <row r="115">
      <c r="B115" s="82"/>
      <c r="C115" s="82"/>
    </row>
    <row r="116">
      <c r="B116" s="82"/>
      <c r="C116" s="82"/>
    </row>
    <row r="117">
      <c r="B117" s="82"/>
      <c r="C117" s="82"/>
    </row>
    <row r="118">
      <c r="B118" s="82"/>
      <c r="C118" s="82"/>
    </row>
    <row r="119">
      <c r="B119" s="82"/>
      <c r="C119" s="82"/>
    </row>
    <row r="120">
      <c r="B120" s="82"/>
      <c r="C120" s="82"/>
    </row>
    <row r="121">
      <c r="B121" s="82"/>
      <c r="C121" s="82"/>
    </row>
    <row r="122">
      <c r="B122" s="82"/>
      <c r="C122" s="82"/>
    </row>
    <row r="123">
      <c r="B123" s="82"/>
      <c r="C123" s="82"/>
    </row>
    <row r="124">
      <c r="B124" s="82"/>
      <c r="C124" s="82"/>
    </row>
    <row r="125">
      <c r="B125" s="82"/>
      <c r="C125" s="82"/>
    </row>
    <row r="126">
      <c r="B126" s="82"/>
      <c r="C126" s="82"/>
    </row>
    <row r="127">
      <c r="B127" s="82"/>
      <c r="C127" s="82"/>
    </row>
    <row r="128">
      <c r="B128" s="82"/>
      <c r="C128" s="82"/>
    </row>
    <row r="129">
      <c r="B129" s="82"/>
      <c r="C129" s="82"/>
    </row>
    <row r="130">
      <c r="B130" s="82"/>
      <c r="C130" s="82"/>
    </row>
    <row r="131">
      <c r="B131" s="82"/>
      <c r="C131" s="82"/>
    </row>
    <row r="132">
      <c r="B132" s="82"/>
      <c r="C132" s="82"/>
    </row>
    <row r="133">
      <c r="B133" s="82"/>
      <c r="C133" s="82"/>
    </row>
    <row r="134">
      <c r="B134" s="82"/>
      <c r="C134" s="82"/>
    </row>
    <row r="135">
      <c r="B135" s="82"/>
      <c r="C135" s="82"/>
    </row>
    <row r="136">
      <c r="B136" s="82"/>
      <c r="C136" s="82"/>
    </row>
    <row r="137">
      <c r="B137" s="82"/>
      <c r="C137" s="82"/>
    </row>
    <row r="138">
      <c r="B138" s="82"/>
      <c r="C138" s="82"/>
    </row>
    <row r="139">
      <c r="B139" s="82"/>
      <c r="C139" s="82"/>
    </row>
    <row r="140">
      <c r="B140" s="82"/>
      <c r="C140" s="82"/>
    </row>
    <row r="141">
      <c r="B141" s="82"/>
      <c r="C141" s="82"/>
    </row>
    <row r="142">
      <c r="B142" s="82"/>
      <c r="C142" s="82"/>
    </row>
    <row r="143">
      <c r="B143" s="82"/>
      <c r="C143" s="82"/>
    </row>
    <row r="144">
      <c r="B144" s="82"/>
      <c r="C144" s="82"/>
    </row>
    <row r="145">
      <c r="B145" s="82"/>
      <c r="C145" s="82"/>
    </row>
    <row r="146">
      <c r="B146" s="82"/>
      <c r="C146" s="82"/>
    </row>
    <row r="147">
      <c r="B147" s="82"/>
      <c r="C147" s="82"/>
    </row>
    <row r="148">
      <c r="B148" s="82"/>
      <c r="C148" s="82"/>
    </row>
    <row r="149">
      <c r="B149" s="82"/>
      <c r="C149" s="82"/>
    </row>
    <row r="150">
      <c r="B150" s="82"/>
      <c r="C150" s="82"/>
    </row>
    <row r="151">
      <c r="B151" s="82"/>
      <c r="C151" s="82"/>
    </row>
    <row r="152">
      <c r="B152" s="82"/>
      <c r="C152" s="82"/>
    </row>
    <row r="153">
      <c r="B153" s="82"/>
      <c r="C153" s="82"/>
    </row>
    <row r="154">
      <c r="B154" s="82"/>
      <c r="C154" s="82"/>
    </row>
    <row r="155">
      <c r="B155" s="82"/>
      <c r="C155" s="82"/>
    </row>
    <row r="156">
      <c r="B156" s="82"/>
      <c r="C156" s="82"/>
    </row>
    <row r="157">
      <c r="B157" s="82"/>
      <c r="C157" s="82"/>
    </row>
    <row r="158">
      <c r="B158" s="82"/>
      <c r="C158" s="82"/>
    </row>
    <row r="159">
      <c r="B159" s="82"/>
      <c r="C159" s="82"/>
    </row>
    <row r="160">
      <c r="B160" s="82"/>
      <c r="C160" s="82"/>
    </row>
    <row r="161">
      <c r="B161" s="82"/>
      <c r="C161" s="82"/>
    </row>
    <row r="162">
      <c r="B162" s="82"/>
      <c r="C162" s="82"/>
    </row>
    <row r="163">
      <c r="B163" s="82"/>
      <c r="C163" s="82"/>
    </row>
    <row r="164">
      <c r="B164" s="82"/>
      <c r="C164" s="82"/>
    </row>
    <row r="165">
      <c r="B165" s="82"/>
      <c r="C165" s="82"/>
    </row>
    <row r="166">
      <c r="B166" s="82"/>
      <c r="C166" s="82"/>
    </row>
    <row r="167">
      <c r="B167" s="82"/>
      <c r="C167" s="82"/>
    </row>
    <row r="168">
      <c r="B168" s="82"/>
      <c r="C168" s="82"/>
    </row>
    <row r="169">
      <c r="B169" s="82"/>
      <c r="C169" s="82"/>
    </row>
    <row r="170">
      <c r="B170" s="82"/>
      <c r="C170" s="82"/>
    </row>
    <row r="171">
      <c r="B171" s="82"/>
      <c r="C171" s="82"/>
    </row>
    <row r="172">
      <c r="B172" s="82"/>
      <c r="C172" s="82"/>
    </row>
    <row r="173">
      <c r="B173" s="82"/>
      <c r="C173" s="82"/>
    </row>
    <row r="174">
      <c r="B174" s="82"/>
      <c r="C174" s="82"/>
    </row>
    <row r="175">
      <c r="B175" s="82"/>
      <c r="C175" s="82"/>
    </row>
    <row r="176">
      <c r="B176" s="82"/>
      <c r="C176" s="82"/>
    </row>
    <row r="177">
      <c r="B177" s="82"/>
      <c r="C177" s="82"/>
    </row>
    <row r="178">
      <c r="B178" s="82"/>
      <c r="C178" s="82"/>
    </row>
    <row r="179">
      <c r="B179" s="82"/>
      <c r="C179" s="82"/>
    </row>
    <row r="180">
      <c r="B180" s="82"/>
      <c r="C180" s="82"/>
    </row>
    <row r="181">
      <c r="B181" s="82"/>
      <c r="C181" s="82"/>
    </row>
    <row r="182">
      <c r="B182" s="82"/>
      <c r="C182" s="82"/>
    </row>
    <row r="183">
      <c r="B183" s="82"/>
      <c r="C183" s="82"/>
    </row>
    <row r="184">
      <c r="B184" s="82"/>
      <c r="C184" s="82"/>
    </row>
    <row r="185">
      <c r="B185" s="82"/>
      <c r="C185" s="82"/>
    </row>
    <row r="186">
      <c r="B186" s="82"/>
      <c r="C186" s="82"/>
    </row>
    <row r="187">
      <c r="B187" s="82"/>
      <c r="C187" s="82"/>
    </row>
    <row r="188">
      <c r="B188" s="82"/>
      <c r="C188" s="82"/>
    </row>
    <row r="189">
      <c r="B189" s="82"/>
      <c r="C189" s="82"/>
    </row>
    <row r="190">
      <c r="B190" s="82"/>
      <c r="C190" s="82"/>
    </row>
    <row r="191">
      <c r="B191" s="82"/>
      <c r="C191" s="82"/>
    </row>
    <row r="192">
      <c r="B192" s="82"/>
      <c r="C192" s="82"/>
    </row>
    <row r="193">
      <c r="B193" s="82"/>
      <c r="C193" s="82"/>
    </row>
    <row r="194">
      <c r="B194" s="82"/>
      <c r="C194" s="82"/>
    </row>
    <row r="195">
      <c r="B195" s="82"/>
      <c r="C195" s="82"/>
    </row>
    <row r="196">
      <c r="B196" s="82"/>
      <c r="C196" s="82"/>
    </row>
    <row r="197">
      <c r="B197" s="82"/>
      <c r="C197" s="82"/>
    </row>
    <row r="198">
      <c r="B198" s="82"/>
      <c r="C198" s="82"/>
    </row>
    <row r="199">
      <c r="B199" s="82"/>
      <c r="C199" s="82"/>
    </row>
    <row r="200">
      <c r="B200" s="82"/>
      <c r="C200" s="82"/>
    </row>
    <row r="201">
      <c r="B201" s="82"/>
      <c r="C201" s="82"/>
    </row>
    <row r="202">
      <c r="B202" s="82"/>
      <c r="C202" s="82"/>
    </row>
    <row r="203">
      <c r="B203" s="82"/>
      <c r="C203" s="82"/>
    </row>
    <row r="204">
      <c r="B204" s="82"/>
      <c r="C204" s="82"/>
    </row>
    <row r="205">
      <c r="B205" s="82"/>
      <c r="C205" s="82"/>
    </row>
    <row r="206">
      <c r="B206" s="82"/>
      <c r="C206" s="82"/>
    </row>
    <row r="207">
      <c r="B207" s="82"/>
      <c r="C207" s="82"/>
    </row>
    <row r="208">
      <c r="B208" s="82"/>
      <c r="C208" s="82"/>
    </row>
    <row r="209">
      <c r="B209" s="82"/>
      <c r="C209" s="82"/>
    </row>
    <row r="210">
      <c r="B210" s="82"/>
      <c r="C210" s="82"/>
    </row>
    <row r="211">
      <c r="B211" s="82"/>
      <c r="C211" s="82"/>
    </row>
    <row r="212">
      <c r="B212" s="82"/>
      <c r="C212" s="82"/>
    </row>
    <row r="213">
      <c r="B213" s="82"/>
      <c r="C213" s="82"/>
    </row>
    <row r="214">
      <c r="B214" s="82"/>
      <c r="C214" s="82"/>
    </row>
    <row r="215">
      <c r="B215" s="82"/>
      <c r="C215" s="82"/>
    </row>
    <row r="216">
      <c r="B216" s="82"/>
      <c r="C216" s="82"/>
    </row>
    <row r="217">
      <c r="B217" s="82"/>
      <c r="C217" s="82"/>
    </row>
    <row r="218">
      <c r="B218" s="82"/>
      <c r="C218" s="82"/>
    </row>
    <row r="219">
      <c r="B219" s="82"/>
      <c r="C219" s="82"/>
    </row>
    <row r="220">
      <c r="B220" s="82"/>
      <c r="C220" s="82"/>
    </row>
    <row r="221">
      <c r="B221" s="82"/>
      <c r="C221" s="82"/>
    </row>
    <row r="222">
      <c r="B222" s="82"/>
      <c r="C222" s="82"/>
    </row>
    <row r="223">
      <c r="B223" s="82"/>
      <c r="C223" s="82"/>
    </row>
    <row r="224">
      <c r="B224" s="82"/>
      <c r="C224" s="82"/>
    </row>
    <row r="225">
      <c r="B225" s="82"/>
      <c r="C225" s="82"/>
    </row>
    <row r="226">
      <c r="B226" s="82"/>
      <c r="C226" s="82"/>
    </row>
    <row r="227">
      <c r="B227" s="82"/>
      <c r="C227" s="82"/>
    </row>
    <row r="228">
      <c r="B228" s="82"/>
      <c r="C228" s="82"/>
    </row>
    <row r="229">
      <c r="B229" s="82"/>
      <c r="C229" s="82"/>
    </row>
    <row r="230">
      <c r="B230" s="82"/>
      <c r="C230" s="82"/>
    </row>
    <row r="231">
      <c r="B231" s="82"/>
      <c r="C231" s="82"/>
    </row>
    <row r="232">
      <c r="B232" s="82"/>
      <c r="C232" s="82"/>
    </row>
    <row r="233">
      <c r="B233" s="82"/>
      <c r="C233" s="82"/>
    </row>
    <row r="234">
      <c r="B234" s="82"/>
      <c r="C234" s="82"/>
    </row>
    <row r="235">
      <c r="B235" s="82"/>
      <c r="C235" s="82"/>
    </row>
    <row r="236">
      <c r="B236" s="82"/>
      <c r="C236" s="82"/>
    </row>
    <row r="237">
      <c r="B237" s="82"/>
      <c r="C237" s="82"/>
    </row>
    <row r="238">
      <c r="B238" s="82"/>
      <c r="C238" s="82"/>
    </row>
    <row r="239">
      <c r="B239" s="82"/>
      <c r="C239" s="82"/>
    </row>
    <row r="240">
      <c r="B240" s="82"/>
      <c r="C240" s="82"/>
    </row>
    <row r="241">
      <c r="B241" s="82"/>
      <c r="C241" s="82"/>
    </row>
    <row r="242">
      <c r="B242" s="82"/>
      <c r="C242" s="82"/>
    </row>
    <row r="243">
      <c r="B243" s="82"/>
      <c r="C243" s="82"/>
    </row>
    <row r="244">
      <c r="B244" s="82"/>
      <c r="C244" s="82"/>
    </row>
    <row r="245">
      <c r="B245" s="82"/>
      <c r="C245" s="82"/>
    </row>
    <row r="246">
      <c r="B246" s="82"/>
      <c r="C246" s="82"/>
    </row>
    <row r="247">
      <c r="B247" s="82"/>
      <c r="C247" s="82"/>
    </row>
    <row r="248">
      <c r="B248" s="82"/>
      <c r="C248" s="82"/>
    </row>
    <row r="249">
      <c r="B249" s="82"/>
      <c r="C249" s="82"/>
    </row>
    <row r="250">
      <c r="B250" s="82"/>
      <c r="C250" s="82"/>
    </row>
    <row r="251">
      <c r="B251" s="82"/>
      <c r="C251" s="82"/>
    </row>
    <row r="252">
      <c r="B252" s="82"/>
      <c r="C252" s="82"/>
    </row>
    <row r="253">
      <c r="B253" s="82"/>
      <c r="C253" s="82"/>
    </row>
    <row r="254">
      <c r="B254" s="82"/>
      <c r="C254" s="82"/>
    </row>
    <row r="255">
      <c r="B255" s="82"/>
      <c r="C255" s="82"/>
    </row>
    <row r="256">
      <c r="B256" s="82"/>
      <c r="C256" s="82"/>
    </row>
    <row r="257">
      <c r="B257" s="82"/>
      <c r="C257" s="82"/>
    </row>
    <row r="258">
      <c r="B258" s="82"/>
      <c r="C258" s="82"/>
    </row>
    <row r="259">
      <c r="B259" s="82"/>
      <c r="C259" s="82"/>
    </row>
    <row r="260">
      <c r="B260" s="82"/>
      <c r="C260" s="82"/>
    </row>
    <row r="261">
      <c r="B261" s="82"/>
      <c r="C261" s="82"/>
    </row>
    <row r="262">
      <c r="B262" s="82"/>
      <c r="C262" s="82"/>
    </row>
    <row r="263">
      <c r="B263" s="82"/>
      <c r="C263" s="82"/>
    </row>
    <row r="264">
      <c r="B264" s="82"/>
      <c r="C264" s="82"/>
    </row>
    <row r="265">
      <c r="B265" s="82"/>
      <c r="C265" s="82"/>
    </row>
    <row r="266">
      <c r="B266" s="82"/>
      <c r="C266" s="82"/>
    </row>
    <row r="267">
      <c r="B267" s="82"/>
      <c r="C267" s="82"/>
    </row>
    <row r="268">
      <c r="B268" s="82"/>
      <c r="C268" s="82"/>
    </row>
    <row r="269">
      <c r="B269" s="82"/>
      <c r="C269" s="82"/>
    </row>
    <row r="270">
      <c r="B270" s="82"/>
      <c r="C270" s="82"/>
    </row>
    <row r="271">
      <c r="B271" s="82"/>
      <c r="C271" s="82"/>
    </row>
    <row r="272">
      <c r="B272" s="82"/>
      <c r="C272" s="82"/>
    </row>
    <row r="273">
      <c r="B273" s="82"/>
      <c r="C273" s="82"/>
    </row>
    <row r="274">
      <c r="B274" s="82"/>
      <c r="C274" s="82"/>
    </row>
    <row r="275">
      <c r="B275" s="82"/>
      <c r="C275" s="82"/>
    </row>
    <row r="276">
      <c r="B276" s="82"/>
      <c r="C276" s="82"/>
    </row>
    <row r="277">
      <c r="B277" s="82"/>
      <c r="C277" s="82"/>
    </row>
    <row r="278">
      <c r="B278" s="82"/>
      <c r="C278" s="82"/>
    </row>
    <row r="279">
      <c r="B279" s="82"/>
      <c r="C279" s="82"/>
    </row>
    <row r="280">
      <c r="B280" s="82"/>
      <c r="C280" s="82"/>
    </row>
    <row r="281">
      <c r="B281" s="82"/>
      <c r="C281" s="82"/>
    </row>
    <row r="282">
      <c r="B282" s="82"/>
      <c r="C282" s="82"/>
    </row>
    <row r="283">
      <c r="B283" s="82"/>
      <c r="C283" s="82"/>
    </row>
    <row r="284">
      <c r="B284" s="82"/>
      <c r="C284" s="82"/>
    </row>
    <row r="285">
      <c r="B285" s="82"/>
      <c r="C285" s="82"/>
    </row>
    <row r="286">
      <c r="B286" s="82"/>
      <c r="C286" s="82"/>
    </row>
    <row r="287">
      <c r="B287" s="82"/>
      <c r="C287" s="82"/>
    </row>
    <row r="288">
      <c r="B288" s="82"/>
      <c r="C288" s="82"/>
    </row>
    <row r="289">
      <c r="B289" s="82"/>
      <c r="C289" s="82"/>
    </row>
    <row r="290">
      <c r="B290" s="82"/>
      <c r="C290" s="82"/>
    </row>
    <row r="291">
      <c r="B291" s="82"/>
      <c r="C291" s="82"/>
    </row>
    <row r="292">
      <c r="B292" s="82"/>
      <c r="C292" s="82"/>
    </row>
    <row r="293">
      <c r="B293" s="82"/>
      <c r="C293" s="82"/>
    </row>
    <row r="294">
      <c r="B294" s="82"/>
      <c r="C294" s="82"/>
    </row>
    <row r="295">
      <c r="B295" s="82"/>
      <c r="C295" s="82"/>
    </row>
    <row r="296">
      <c r="B296" s="82"/>
      <c r="C296" s="82"/>
    </row>
    <row r="297">
      <c r="B297" s="82"/>
      <c r="C297" s="82"/>
    </row>
    <row r="298">
      <c r="B298" s="82"/>
      <c r="C298" s="82"/>
    </row>
    <row r="299">
      <c r="B299" s="82"/>
      <c r="C299" s="82"/>
    </row>
    <row r="300">
      <c r="B300" s="82"/>
      <c r="C300" s="82"/>
    </row>
    <row r="301">
      <c r="B301" s="82"/>
      <c r="C301" s="82"/>
    </row>
    <row r="302">
      <c r="B302" s="82"/>
      <c r="C302" s="82"/>
    </row>
    <row r="303">
      <c r="B303" s="82"/>
      <c r="C303" s="82"/>
    </row>
    <row r="304">
      <c r="B304" s="82"/>
      <c r="C304" s="82"/>
    </row>
    <row r="305">
      <c r="B305" s="82"/>
      <c r="C305" s="82"/>
    </row>
    <row r="306">
      <c r="B306" s="82"/>
      <c r="C306" s="82"/>
    </row>
    <row r="307">
      <c r="B307" s="82"/>
      <c r="C307" s="82"/>
    </row>
    <row r="308">
      <c r="B308" s="82"/>
      <c r="C308" s="82"/>
    </row>
    <row r="309">
      <c r="B309" s="82"/>
      <c r="C309" s="82"/>
    </row>
    <row r="310">
      <c r="B310" s="82"/>
      <c r="C310" s="82"/>
    </row>
    <row r="311">
      <c r="B311" s="82"/>
      <c r="C311" s="82"/>
    </row>
    <row r="312">
      <c r="B312" s="82"/>
      <c r="C312" s="82"/>
    </row>
    <row r="313">
      <c r="B313" s="82"/>
      <c r="C313" s="82"/>
    </row>
    <row r="314">
      <c r="B314" s="82"/>
      <c r="C314" s="82"/>
    </row>
    <row r="315">
      <c r="B315" s="82"/>
      <c r="C315" s="82"/>
    </row>
    <row r="316">
      <c r="B316" s="82"/>
      <c r="C316" s="82"/>
    </row>
    <row r="317">
      <c r="B317" s="82"/>
      <c r="C317" s="82"/>
    </row>
    <row r="318">
      <c r="B318" s="82"/>
      <c r="C318" s="82"/>
    </row>
    <row r="319">
      <c r="B319" s="82"/>
      <c r="C319" s="82"/>
    </row>
    <row r="320">
      <c r="B320" s="82"/>
      <c r="C320" s="82"/>
    </row>
    <row r="321">
      <c r="B321" s="82"/>
      <c r="C321" s="82"/>
    </row>
    <row r="322">
      <c r="B322" s="82"/>
      <c r="C322" s="82"/>
    </row>
    <row r="323">
      <c r="B323" s="82"/>
      <c r="C323" s="82"/>
    </row>
    <row r="324">
      <c r="B324" s="82"/>
      <c r="C324" s="82"/>
    </row>
    <row r="325">
      <c r="B325" s="82"/>
      <c r="C325" s="82"/>
    </row>
    <row r="326">
      <c r="B326" s="82"/>
      <c r="C326" s="82"/>
    </row>
    <row r="327">
      <c r="B327" s="82"/>
      <c r="C327" s="82"/>
    </row>
    <row r="328">
      <c r="B328" s="82"/>
      <c r="C328" s="82"/>
    </row>
    <row r="329">
      <c r="B329" s="82"/>
      <c r="C329" s="82"/>
    </row>
    <row r="330">
      <c r="B330" s="82"/>
      <c r="C330" s="82"/>
    </row>
    <row r="331">
      <c r="B331" s="82"/>
      <c r="C331" s="82"/>
    </row>
    <row r="332">
      <c r="B332" s="82"/>
      <c r="C332" s="82"/>
    </row>
    <row r="333">
      <c r="B333" s="82"/>
      <c r="C333" s="82"/>
    </row>
    <row r="334">
      <c r="B334" s="82"/>
      <c r="C334" s="82"/>
    </row>
    <row r="335">
      <c r="B335" s="82"/>
      <c r="C335" s="82"/>
    </row>
    <row r="336">
      <c r="B336" s="82"/>
      <c r="C336" s="82"/>
    </row>
    <row r="337">
      <c r="B337" s="82"/>
      <c r="C337" s="82"/>
    </row>
    <row r="338">
      <c r="B338" s="82"/>
      <c r="C338" s="82"/>
    </row>
    <row r="339">
      <c r="B339" s="82"/>
      <c r="C339" s="82"/>
    </row>
    <row r="340">
      <c r="B340" s="82"/>
      <c r="C340" s="82"/>
    </row>
    <row r="341">
      <c r="B341" s="82"/>
      <c r="C341" s="82"/>
    </row>
    <row r="342">
      <c r="B342" s="82"/>
      <c r="C342" s="82"/>
    </row>
    <row r="343">
      <c r="B343" s="82"/>
      <c r="C343" s="82"/>
    </row>
    <row r="344">
      <c r="B344" s="82"/>
      <c r="C344" s="82"/>
    </row>
    <row r="345">
      <c r="B345" s="82"/>
      <c r="C345" s="82"/>
    </row>
    <row r="346">
      <c r="B346" s="82"/>
      <c r="C346" s="82"/>
    </row>
    <row r="347">
      <c r="B347" s="82"/>
      <c r="C347" s="82"/>
    </row>
    <row r="348">
      <c r="B348" s="82"/>
      <c r="C348" s="82"/>
    </row>
    <row r="349">
      <c r="B349" s="82"/>
      <c r="C349" s="82"/>
    </row>
    <row r="350">
      <c r="B350" s="82"/>
      <c r="C350" s="82"/>
    </row>
    <row r="351">
      <c r="B351" s="82"/>
      <c r="C351" s="82"/>
    </row>
    <row r="352">
      <c r="B352" s="82"/>
      <c r="C352" s="82"/>
    </row>
    <row r="353">
      <c r="B353" s="82"/>
      <c r="C353" s="82"/>
    </row>
    <row r="354">
      <c r="B354" s="82"/>
      <c r="C354" s="82"/>
    </row>
    <row r="355">
      <c r="B355" s="82"/>
      <c r="C355" s="82"/>
    </row>
    <row r="356">
      <c r="B356" s="82"/>
      <c r="C356" s="82"/>
    </row>
    <row r="357">
      <c r="B357" s="82"/>
      <c r="C357" s="82"/>
    </row>
    <row r="358">
      <c r="B358" s="82"/>
      <c r="C358" s="82"/>
    </row>
    <row r="359">
      <c r="B359" s="82"/>
      <c r="C359" s="82"/>
    </row>
    <row r="360">
      <c r="B360" s="82"/>
      <c r="C360" s="82"/>
    </row>
    <row r="361">
      <c r="B361" s="82"/>
      <c r="C361" s="82"/>
    </row>
    <row r="362">
      <c r="B362" s="82"/>
      <c r="C362" s="82"/>
    </row>
    <row r="363">
      <c r="B363" s="82"/>
      <c r="C363" s="82"/>
    </row>
    <row r="364">
      <c r="B364" s="82"/>
      <c r="C364" s="82"/>
    </row>
    <row r="365">
      <c r="B365" s="82"/>
      <c r="C365" s="82"/>
    </row>
    <row r="366">
      <c r="B366" s="82"/>
      <c r="C366" s="82"/>
    </row>
    <row r="367">
      <c r="B367" s="82"/>
      <c r="C367" s="82"/>
    </row>
    <row r="368">
      <c r="B368" s="82"/>
      <c r="C368" s="82"/>
    </row>
    <row r="369">
      <c r="B369" s="82"/>
      <c r="C369" s="82"/>
    </row>
    <row r="370">
      <c r="B370" s="82"/>
      <c r="C370" s="82"/>
    </row>
    <row r="371">
      <c r="B371" s="82"/>
      <c r="C371" s="82"/>
    </row>
    <row r="372">
      <c r="B372" s="82"/>
      <c r="C372" s="82"/>
    </row>
    <row r="373">
      <c r="B373" s="82"/>
      <c r="C373" s="82"/>
    </row>
    <row r="374">
      <c r="B374" s="82"/>
      <c r="C374" s="82"/>
    </row>
    <row r="375">
      <c r="B375" s="82"/>
      <c r="C375" s="82"/>
    </row>
    <row r="376">
      <c r="B376" s="82"/>
      <c r="C376" s="82"/>
    </row>
    <row r="377">
      <c r="B377" s="82"/>
      <c r="C377" s="82"/>
    </row>
    <row r="378">
      <c r="B378" s="82"/>
      <c r="C378" s="82"/>
    </row>
    <row r="379">
      <c r="B379" s="82"/>
      <c r="C379" s="82"/>
    </row>
    <row r="380">
      <c r="B380" s="82"/>
      <c r="C380" s="82"/>
    </row>
    <row r="381">
      <c r="B381" s="82"/>
      <c r="C381" s="82"/>
    </row>
    <row r="382">
      <c r="B382" s="82"/>
      <c r="C382" s="82"/>
    </row>
    <row r="383">
      <c r="B383" s="82"/>
      <c r="C383" s="82"/>
    </row>
    <row r="384">
      <c r="B384" s="82"/>
      <c r="C384" s="82"/>
    </row>
    <row r="385">
      <c r="B385" s="82"/>
      <c r="C385" s="82"/>
    </row>
    <row r="386">
      <c r="B386" s="82"/>
      <c r="C386" s="82"/>
    </row>
    <row r="387">
      <c r="B387" s="82"/>
      <c r="C387" s="82"/>
    </row>
    <row r="388">
      <c r="B388" s="82"/>
      <c r="C388" s="82"/>
    </row>
    <row r="389">
      <c r="B389" s="82"/>
      <c r="C389" s="82"/>
    </row>
    <row r="390">
      <c r="B390" s="82"/>
      <c r="C390" s="82"/>
    </row>
    <row r="391">
      <c r="B391" s="82"/>
      <c r="C391" s="82"/>
    </row>
    <row r="392">
      <c r="B392" s="82"/>
      <c r="C392" s="82"/>
    </row>
    <row r="393">
      <c r="B393" s="82"/>
      <c r="C393" s="82"/>
    </row>
    <row r="394">
      <c r="B394" s="82"/>
      <c r="C394" s="82"/>
    </row>
    <row r="395">
      <c r="B395" s="82"/>
      <c r="C395" s="82"/>
    </row>
    <row r="396">
      <c r="B396" s="82"/>
      <c r="C396" s="82"/>
    </row>
    <row r="397">
      <c r="B397" s="82"/>
      <c r="C397" s="82"/>
    </row>
    <row r="398">
      <c r="B398" s="82"/>
      <c r="C398" s="82"/>
    </row>
    <row r="399">
      <c r="B399" s="82"/>
      <c r="C399" s="82"/>
    </row>
    <row r="400">
      <c r="B400" s="82"/>
      <c r="C400" s="82"/>
    </row>
    <row r="401">
      <c r="B401" s="82"/>
      <c r="C401" s="82"/>
    </row>
    <row r="402">
      <c r="B402" s="82"/>
      <c r="C402" s="82"/>
    </row>
    <row r="403">
      <c r="B403" s="82"/>
      <c r="C403" s="82"/>
    </row>
    <row r="404">
      <c r="B404" s="82"/>
      <c r="C404" s="82"/>
    </row>
    <row r="405">
      <c r="B405" s="82"/>
      <c r="C405" s="82"/>
    </row>
    <row r="406">
      <c r="B406" s="82"/>
      <c r="C406" s="82"/>
    </row>
    <row r="407">
      <c r="B407" s="82"/>
      <c r="C407" s="82"/>
    </row>
    <row r="408">
      <c r="B408" s="82"/>
      <c r="C408" s="82"/>
    </row>
    <row r="409">
      <c r="B409" s="82"/>
      <c r="C409" s="82"/>
    </row>
    <row r="410">
      <c r="B410" s="82"/>
      <c r="C410" s="82"/>
    </row>
    <row r="411">
      <c r="B411" s="82"/>
      <c r="C411" s="82"/>
    </row>
    <row r="412">
      <c r="B412" s="82"/>
      <c r="C412" s="82"/>
    </row>
    <row r="413">
      <c r="B413" s="82"/>
      <c r="C413" s="82"/>
    </row>
    <row r="414">
      <c r="B414" s="82"/>
      <c r="C414" s="82"/>
    </row>
    <row r="415">
      <c r="B415" s="82"/>
      <c r="C415" s="82"/>
    </row>
    <row r="416">
      <c r="B416" s="82"/>
      <c r="C416" s="82"/>
    </row>
    <row r="417">
      <c r="B417" s="82"/>
      <c r="C417" s="82"/>
    </row>
    <row r="418">
      <c r="B418" s="82"/>
      <c r="C418" s="82"/>
    </row>
    <row r="419">
      <c r="B419" s="82"/>
      <c r="C419" s="82"/>
    </row>
    <row r="420">
      <c r="B420" s="82"/>
      <c r="C420" s="82"/>
    </row>
    <row r="421">
      <c r="B421" s="82"/>
      <c r="C421" s="82"/>
    </row>
    <row r="422">
      <c r="B422" s="82"/>
      <c r="C422" s="82"/>
    </row>
    <row r="423">
      <c r="B423" s="82"/>
      <c r="C423" s="82"/>
    </row>
    <row r="424">
      <c r="B424" s="82"/>
      <c r="C424" s="82"/>
    </row>
    <row r="425">
      <c r="B425" s="82"/>
      <c r="C425" s="82"/>
    </row>
    <row r="426">
      <c r="B426" s="82"/>
      <c r="C426" s="82"/>
    </row>
    <row r="427">
      <c r="B427" s="82"/>
      <c r="C427" s="82"/>
    </row>
    <row r="428">
      <c r="B428" s="82"/>
      <c r="C428" s="82"/>
    </row>
    <row r="429">
      <c r="B429" s="82"/>
      <c r="C429" s="82"/>
    </row>
    <row r="430">
      <c r="B430" s="82"/>
      <c r="C430" s="82"/>
    </row>
    <row r="431">
      <c r="B431" s="82"/>
      <c r="C431" s="82"/>
    </row>
    <row r="432">
      <c r="B432" s="82"/>
      <c r="C432" s="82"/>
    </row>
    <row r="433">
      <c r="B433" s="82"/>
      <c r="C433" s="82"/>
    </row>
    <row r="434">
      <c r="B434" s="82"/>
      <c r="C434" s="82"/>
    </row>
    <row r="435">
      <c r="B435" s="82"/>
      <c r="C435" s="82"/>
    </row>
    <row r="436">
      <c r="B436" s="82"/>
      <c r="C436" s="82"/>
    </row>
    <row r="437">
      <c r="B437" s="82"/>
      <c r="C437" s="82"/>
    </row>
    <row r="438">
      <c r="B438" s="82"/>
      <c r="C438" s="82"/>
    </row>
    <row r="439">
      <c r="B439" s="82"/>
      <c r="C439" s="82"/>
    </row>
    <row r="440">
      <c r="B440" s="82"/>
      <c r="C440" s="82"/>
    </row>
    <row r="441">
      <c r="B441" s="82"/>
      <c r="C441" s="82"/>
    </row>
    <row r="442">
      <c r="B442" s="82"/>
      <c r="C442" s="82"/>
    </row>
    <row r="443">
      <c r="B443" s="82"/>
      <c r="C443" s="82"/>
    </row>
    <row r="444">
      <c r="B444" s="82"/>
      <c r="C444" s="82"/>
    </row>
    <row r="445">
      <c r="B445" s="82"/>
      <c r="C445" s="82"/>
    </row>
    <row r="446">
      <c r="B446" s="82"/>
      <c r="C446" s="82"/>
    </row>
    <row r="447">
      <c r="B447" s="82"/>
      <c r="C447" s="82"/>
    </row>
    <row r="448">
      <c r="B448" s="82"/>
      <c r="C448" s="82"/>
    </row>
    <row r="449">
      <c r="B449" s="82"/>
      <c r="C449" s="82"/>
    </row>
    <row r="450">
      <c r="B450" s="82"/>
      <c r="C450" s="82"/>
    </row>
    <row r="451">
      <c r="B451" s="82"/>
      <c r="C451" s="82"/>
    </row>
    <row r="452">
      <c r="B452" s="82"/>
      <c r="C452" s="82"/>
    </row>
    <row r="453">
      <c r="B453" s="82"/>
      <c r="C453" s="82"/>
    </row>
    <row r="454">
      <c r="B454" s="82"/>
      <c r="C454" s="82"/>
    </row>
    <row r="455">
      <c r="B455" s="82"/>
      <c r="C455" s="82"/>
    </row>
    <row r="456">
      <c r="B456" s="82"/>
      <c r="C456" s="82"/>
    </row>
    <row r="457">
      <c r="B457" s="82"/>
      <c r="C457" s="82"/>
    </row>
    <row r="458">
      <c r="B458" s="82"/>
      <c r="C458" s="82"/>
    </row>
    <row r="459">
      <c r="B459" s="82"/>
      <c r="C459" s="82"/>
    </row>
    <row r="460">
      <c r="B460" s="82"/>
      <c r="C460" s="82"/>
    </row>
    <row r="461">
      <c r="B461" s="82"/>
      <c r="C461" s="82"/>
    </row>
    <row r="462">
      <c r="B462" s="82"/>
      <c r="C462" s="82"/>
    </row>
    <row r="463">
      <c r="B463" s="82"/>
      <c r="C463" s="82"/>
    </row>
    <row r="464">
      <c r="B464" s="82"/>
      <c r="C464" s="82"/>
    </row>
    <row r="465">
      <c r="B465" s="82"/>
      <c r="C465" s="82"/>
    </row>
    <row r="466">
      <c r="B466" s="82"/>
      <c r="C466" s="82"/>
    </row>
    <row r="467">
      <c r="B467" s="82"/>
      <c r="C467" s="82"/>
    </row>
    <row r="468">
      <c r="B468" s="82"/>
      <c r="C468" s="82"/>
    </row>
    <row r="469">
      <c r="B469" s="82"/>
      <c r="C469" s="82"/>
    </row>
    <row r="470">
      <c r="B470" s="82"/>
      <c r="C470" s="82"/>
    </row>
    <row r="471">
      <c r="B471" s="82"/>
      <c r="C471" s="82"/>
    </row>
    <row r="472">
      <c r="B472" s="82"/>
      <c r="C472" s="82"/>
    </row>
    <row r="473">
      <c r="B473" s="82"/>
      <c r="C473" s="82"/>
    </row>
    <row r="474">
      <c r="B474" s="82"/>
      <c r="C474" s="82"/>
    </row>
    <row r="475">
      <c r="B475" s="82"/>
      <c r="C475" s="82"/>
    </row>
    <row r="476">
      <c r="B476" s="82"/>
      <c r="C476" s="82"/>
    </row>
    <row r="477">
      <c r="B477" s="82"/>
      <c r="C477" s="82"/>
    </row>
    <row r="478">
      <c r="B478" s="82"/>
      <c r="C478" s="82"/>
    </row>
    <row r="479">
      <c r="B479" s="82"/>
      <c r="C479" s="82"/>
    </row>
    <row r="480">
      <c r="B480" s="82"/>
      <c r="C480" s="82"/>
    </row>
    <row r="481">
      <c r="B481" s="82"/>
      <c r="C481" s="82"/>
    </row>
    <row r="482">
      <c r="B482" s="82"/>
      <c r="C482" s="82"/>
    </row>
    <row r="483">
      <c r="B483" s="82"/>
      <c r="C483" s="82"/>
    </row>
    <row r="484">
      <c r="B484" s="82"/>
      <c r="C484" s="82"/>
    </row>
    <row r="485">
      <c r="B485" s="82"/>
      <c r="C485" s="82"/>
    </row>
    <row r="486">
      <c r="B486" s="82"/>
      <c r="C486" s="82"/>
    </row>
    <row r="487">
      <c r="B487" s="82"/>
      <c r="C487" s="82"/>
    </row>
    <row r="488">
      <c r="B488" s="82"/>
      <c r="C488" s="82"/>
    </row>
    <row r="489">
      <c r="B489" s="82"/>
      <c r="C489" s="82"/>
    </row>
    <row r="490">
      <c r="B490" s="82"/>
      <c r="C490" s="82"/>
    </row>
    <row r="491">
      <c r="B491" s="82"/>
      <c r="C491" s="82"/>
    </row>
    <row r="492">
      <c r="B492" s="82"/>
      <c r="C492" s="82"/>
    </row>
    <row r="493">
      <c r="B493" s="82"/>
      <c r="C493" s="82"/>
    </row>
    <row r="494">
      <c r="B494" s="82"/>
      <c r="C494" s="82"/>
    </row>
    <row r="495">
      <c r="B495" s="82"/>
      <c r="C495" s="82"/>
    </row>
    <row r="496">
      <c r="B496" s="82"/>
      <c r="C496" s="82"/>
    </row>
    <row r="497">
      <c r="B497" s="82"/>
      <c r="C497" s="82"/>
    </row>
    <row r="498">
      <c r="B498" s="82"/>
      <c r="C498" s="82"/>
    </row>
    <row r="499">
      <c r="B499" s="82"/>
      <c r="C499" s="82"/>
    </row>
    <row r="500">
      <c r="B500" s="82"/>
      <c r="C500" s="82"/>
    </row>
    <row r="501">
      <c r="B501" s="82"/>
      <c r="C501" s="82"/>
    </row>
    <row r="502">
      <c r="B502" s="82"/>
      <c r="C502" s="82"/>
    </row>
    <row r="503">
      <c r="B503" s="82"/>
      <c r="C503" s="82"/>
    </row>
    <row r="504">
      <c r="B504" s="82"/>
      <c r="C504" s="82"/>
    </row>
    <row r="505">
      <c r="B505" s="82"/>
      <c r="C505" s="82"/>
    </row>
    <row r="506">
      <c r="B506" s="82"/>
      <c r="C506" s="82"/>
    </row>
    <row r="507">
      <c r="B507" s="82"/>
      <c r="C507" s="82"/>
    </row>
    <row r="508">
      <c r="B508" s="82"/>
      <c r="C508" s="82"/>
    </row>
    <row r="509">
      <c r="B509" s="82"/>
      <c r="C509" s="82"/>
    </row>
    <row r="510">
      <c r="B510" s="82"/>
      <c r="C510" s="82"/>
    </row>
    <row r="511">
      <c r="B511" s="82"/>
      <c r="C511" s="82"/>
    </row>
    <row r="512">
      <c r="B512" s="82"/>
      <c r="C512" s="82"/>
    </row>
    <row r="513">
      <c r="B513" s="82"/>
      <c r="C513" s="82"/>
    </row>
    <row r="514">
      <c r="B514" s="82"/>
      <c r="C514" s="82"/>
    </row>
    <row r="515">
      <c r="B515" s="82"/>
      <c r="C515" s="82"/>
    </row>
    <row r="516">
      <c r="B516" s="82"/>
      <c r="C516" s="82"/>
    </row>
    <row r="517">
      <c r="B517" s="82"/>
      <c r="C517" s="82"/>
    </row>
    <row r="518">
      <c r="B518" s="82"/>
      <c r="C518" s="82"/>
    </row>
    <row r="519">
      <c r="B519" s="82"/>
      <c r="C519" s="82"/>
    </row>
    <row r="520">
      <c r="B520" s="82"/>
      <c r="C520" s="82"/>
    </row>
    <row r="521">
      <c r="B521" s="82"/>
      <c r="C521" s="82"/>
    </row>
    <row r="522">
      <c r="B522" s="82"/>
      <c r="C522" s="82"/>
    </row>
    <row r="523">
      <c r="B523" s="82"/>
      <c r="C523" s="82"/>
    </row>
    <row r="524">
      <c r="B524" s="82"/>
      <c r="C524" s="82"/>
    </row>
    <row r="525">
      <c r="B525" s="82"/>
      <c r="C525" s="82"/>
    </row>
    <row r="526">
      <c r="B526" s="82"/>
      <c r="C526" s="82"/>
    </row>
    <row r="527">
      <c r="B527" s="82"/>
      <c r="C527" s="82"/>
    </row>
    <row r="528">
      <c r="B528" s="82"/>
      <c r="C528" s="82"/>
    </row>
    <row r="529">
      <c r="B529" s="82"/>
      <c r="C529" s="82"/>
    </row>
    <row r="530">
      <c r="B530" s="82"/>
      <c r="C530" s="82"/>
    </row>
    <row r="531">
      <c r="B531" s="82"/>
      <c r="C531" s="82"/>
    </row>
    <row r="532">
      <c r="B532" s="82"/>
      <c r="C532" s="82"/>
    </row>
    <row r="533">
      <c r="B533" s="82"/>
      <c r="C533" s="82"/>
    </row>
    <row r="534">
      <c r="B534" s="82"/>
      <c r="C534" s="82"/>
    </row>
    <row r="535">
      <c r="B535" s="82"/>
      <c r="C535" s="82"/>
    </row>
    <row r="536">
      <c r="B536" s="82"/>
      <c r="C536" s="82"/>
    </row>
    <row r="537">
      <c r="B537" s="82"/>
      <c r="C537" s="82"/>
    </row>
    <row r="538">
      <c r="B538" s="82"/>
      <c r="C538" s="82"/>
    </row>
    <row r="539">
      <c r="B539" s="82"/>
      <c r="C539" s="82"/>
    </row>
    <row r="540">
      <c r="B540" s="82"/>
      <c r="C540" s="82"/>
    </row>
    <row r="541">
      <c r="B541" s="82"/>
      <c r="C541" s="82"/>
    </row>
    <row r="542">
      <c r="B542" s="82"/>
      <c r="C542" s="82"/>
    </row>
    <row r="543">
      <c r="B543" s="82"/>
      <c r="C543" s="82"/>
    </row>
    <row r="544">
      <c r="B544" s="82"/>
      <c r="C544" s="82"/>
    </row>
    <row r="545">
      <c r="B545" s="82"/>
      <c r="C545" s="82"/>
    </row>
    <row r="546">
      <c r="B546" s="82"/>
      <c r="C546" s="82"/>
    </row>
    <row r="547">
      <c r="B547" s="82"/>
      <c r="C547" s="82"/>
    </row>
    <row r="548">
      <c r="B548" s="82"/>
      <c r="C548" s="82"/>
    </row>
    <row r="549">
      <c r="B549" s="82"/>
      <c r="C549" s="82"/>
    </row>
    <row r="550">
      <c r="B550" s="82"/>
      <c r="C550" s="82"/>
    </row>
    <row r="551">
      <c r="B551" s="82"/>
      <c r="C551" s="82"/>
    </row>
    <row r="552">
      <c r="B552" s="82"/>
      <c r="C552" s="82"/>
    </row>
    <row r="553">
      <c r="B553" s="82"/>
      <c r="C553" s="82"/>
    </row>
    <row r="554">
      <c r="B554" s="82"/>
      <c r="C554" s="82"/>
    </row>
    <row r="555">
      <c r="B555" s="82"/>
      <c r="C555" s="82"/>
    </row>
    <row r="556">
      <c r="B556" s="82"/>
      <c r="C556" s="82"/>
    </row>
    <row r="557">
      <c r="B557" s="82"/>
      <c r="C557" s="82"/>
    </row>
    <row r="558">
      <c r="B558" s="82"/>
      <c r="C558" s="82"/>
    </row>
    <row r="559">
      <c r="B559" s="82"/>
      <c r="C559" s="82"/>
    </row>
    <row r="560">
      <c r="B560" s="82"/>
      <c r="C560" s="82"/>
    </row>
    <row r="561">
      <c r="B561" s="82"/>
      <c r="C561" s="82"/>
    </row>
    <row r="562">
      <c r="B562" s="82"/>
      <c r="C562" s="82"/>
    </row>
    <row r="563">
      <c r="B563" s="82"/>
      <c r="C563" s="82"/>
    </row>
    <row r="564">
      <c r="B564" s="82"/>
      <c r="C564" s="82"/>
    </row>
    <row r="565">
      <c r="B565" s="82"/>
      <c r="C565" s="82"/>
    </row>
    <row r="566">
      <c r="B566" s="82"/>
      <c r="C566" s="82"/>
    </row>
    <row r="567">
      <c r="B567" s="82"/>
      <c r="C567" s="82"/>
    </row>
    <row r="568">
      <c r="B568" s="82"/>
      <c r="C568" s="82"/>
    </row>
    <row r="569">
      <c r="B569" s="82"/>
      <c r="C569" s="82"/>
    </row>
    <row r="570">
      <c r="B570" s="82"/>
      <c r="C570" s="82"/>
    </row>
    <row r="571">
      <c r="B571" s="82"/>
      <c r="C571" s="82"/>
    </row>
    <row r="572">
      <c r="B572" s="82"/>
      <c r="C572" s="82"/>
    </row>
    <row r="573">
      <c r="B573" s="82"/>
      <c r="C573" s="82"/>
    </row>
    <row r="574">
      <c r="B574" s="82"/>
      <c r="C574" s="82"/>
    </row>
    <row r="575">
      <c r="B575" s="82"/>
      <c r="C575" s="82"/>
    </row>
    <row r="576">
      <c r="B576" s="82"/>
      <c r="C576" s="82"/>
    </row>
    <row r="577">
      <c r="B577" s="82"/>
      <c r="C577" s="82"/>
    </row>
    <row r="578">
      <c r="B578" s="82"/>
      <c r="C578" s="82"/>
    </row>
    <row r="579">
      <c r="B579" s="82"/>
      <c r="C579" s="82"/>
    </row>
    <row r="580">
      <c r="B580" s="82"/>
      <c r="C580" s="82"/>
    </row>
    <row r="581">
      <c r="B581" s="82"/>
      <c r="C581" s="82"/>
    </row>
    <row r="582">
      <c r="B582" s="82"/>
      <c r="C582" s="82"/>
    </row>
    <row r="583">
      <c r="B583" s="82"/>
      <c r="C583" s="82"/>
    </row>
    <row r="584">
      <c r="B584" s="82"/>
      <c r="C584" s="82"/>
    </row>
    <row r="585">
      <c r="B585" s="82"/>
      <c r="C585" s="82"/>
    </row>
    <row r="586">
      <c r="B586" s="82"/>
      <c r="C586" s="82"/>
    </row>
    <row r="587">
      <c r="B587" s="82"/>
      <c r="C587" s="82"/>
    </row>
    <row r="588">
      <c r="B588" s="82"/>
      <c r="C588" s="82"/>
    </row>
    <row r="589">
      <c r="B589" s="82"/>
      <c r="C589" s="82"/>
    </row>
    <row r="590">
      <c r="B590" s="82"/>
      <c r="C590" s="82"/>
    </row>
    <row r="591">
      <c r="B591" s="82"/>
      <c r="C591" s="82"/>
    </row>
    <row r="592">
      <c r="B592" s="82"/>
      <c r="C592" s="82"/>
    </row>
    <row r="593">
      <c r="B593" s="82"/>
      <c r="C593" s="82"/>
    </row>
    <row r="594">
      <c r="B594" s="82"/>
      <c r="C594" s="82"/>
    </row>
    <row r="595">
      <c r="B595" s="82"/>
      <c r="C595" s="82"/>
    </row>
    <row r="596">
      <c r="B596" s="82"/>
      <c r="C596" s="82"/>
    </row>
    <row r="597">
      <c r="B597" s="82"/>
      <c r="C597" s="82"/>
    </row>
    <row r="598">
      <c r="B598" s="82"/>
      <c r="C598" s="82"/>
    </row>
    <row r="599">
      <c r="B599" s="82"/>
      <c r="C599" s="82"/>
    </row>
    <row r="600">
      <c r="B600" s="82"/>
      <c r="C600" s="82"/>
    </row>
    <row r="601">
      <c r="B601" s="82"/>
      <c r="C601" s="82"/>
    </row>
    <row r="602">
      <c r="B602" s="82"/>
      <c r="C602" s="82"/>
    </row>
    <row r="603">
      <c r="B603" s="82"/>
      <c r="C603" s="82"/>
    </row>
    <row r="604">
      <c r="B604" s="82"/>
      <c r="C604" s="82"/>
    </row>
    <row r="605">
      <c r="B605" s="82"/>
      <c r="C605" s="82"/>
    </row>
    <row r="606">
      <c r="B606" s="82"/>
      <c r="C606" s="82"/>
    </row>
    <row r="607">
      <c r="B607" s="82"/>
      <c r="C607" s="82"/>
    </row>
    <row r="608">
      <c r="B608" s="82"/>
      <c r="C608" s="82"/>
    </row>
    <row r="609">
      <c r="B609" s="82"/>
      <c r="C609" s="82"/>
    </row>
    <row r="610">
      <c r="B610" s="82"/>
      <c r="C610" s="82"/>
    </row>
    <row r="611">
      <c r="B611" s="82"/>
      <c r="C611" s="82"/>
    </row>
    <row r="612">
      <c r="B612" s="82"/>
      <c r="C612" s="82"/>
    </row>
    <row r="613">
      <c r="B613" s="82"/>
      <c r="C613" s="82"/>
    </row>
    <row r="614">
      <c r="B614" s="82"/>
      <c r="C614" s="82"/>
    </row>
    <row r="615">
      <c r="B615" s="82"/>
      <c r="C615" s="82"/>
    </row>
    <row r="616">
      <c r="B616" s="82"/>
      <c r="C616" s="82"/>
    </row>
    <row r="617">
      <c r="B617" s="82"/>
      <c r="C617" s="82"/>
    </row>
    <row r="618">
      <c r="B618" s="82"/>
      <c r="C618" s="82"/>
    </row>
    <row r="619">
      <c r="B619" s="82"/>
      <c r="C619" s="82"/>
    </row>
    <row r="620">
      <c r="B620" s="82"/>
      <c r="C620" s="82"/>
    </row>
    <row r="621">
      <c r="B621" s="82"/>
      <c r="C621" s="82"/>
    </row>
    <row r="622">
      <c r="B622" s="82"/>
      <c r="C622" s="82"/>
    </row>
    <row r="623">
      <c r="B623" s="82"/>
      <c r="C623" s="82"/>
    </row>
    <row r="624">
      <c r="B624" s="82"/>
      <c r="C624" s="82"/>
    </row>
    <row r="625">
      <c r="B625" s="82"/>
      <c r="C625" s="82"/>
    </row>
    <row r="626">
      <c r="B626" s="82"/>
      <c r="C626" s="82"/>
    </row>
    <row r="627">
      <c r="B627" s="82"/>
      <c r="C627" s="82"/>
    </row>
    <row r="628">
      <c r="B628" s="82"/>
      <c r="C628" s="82"/>
    </row>
    <row r="629">
      <c r="B629" s="82"/>
      <c r="C629" s="82"/>
    </row>
    <row r="630">
      <c r="B630" s="82"/>
      <c r="C630" s="82"/>
    </row>
    <row r="631">
      <c r="B631" s="82"/>
      <c r="C631" s="82"/>
    </row>
    <row r="632">
      <c r="B632" s="82"/>
      <c r="C632" s="82"/>
    </row>
    <row r="633">
      <c r="B633" s="82"/>
      <c r="C633" s="82"/>
    </row>
    <row r="634">
      <c r="B634" s="82"/>
      <c r="C634" s="82"/>
    </row>
    <row r="635">
      <c r="B635" s="82"/>
      <c r="C635" s="82"/>
    </row>
    <row r="636">
      <c r="B636" s="82"/>
      <c r="C636" s="82"/>
    </row>
    <row r="637">
      <c r="B637" s="82"/>
      <c r="C637" s="82"/>
    </row>
    <row r="638">
      <c r="B638" s="82"/>
      <c r="C638" s="82"/>
    </row>
    <row r="639">
      <c r="B639" s="82"/>
      <c r="C639" s="82"/>
    </row>
    <row r="640">
      <c r="B640" s="82"/>
      <c r="C640" s="82"/>
    </row>
    <row r="641">
      <c r="B641" s="82"/>
      <c r="C641" s="82"/>
    </row>
    <row r="642">
      <c r="B642" s="82"/>
      <c r="C642" s="82"/>
    </row>
    <row r="643">
      <c r="B643" s="82"/>
      <c r="C643" s="82"/>
    </row>
    <row r="644">
      <c r="B644" s="82"/>
      <c r="C644" s="82"/>
    </row>
    <row r="645">
      <c r="B645" s="82"/>
      <c r="C645" s="82"/>
    </row>
    <row r="646">
      <c r="B646" s="82"/>
      <c r="C646" s="82"/>
    </row>
    <row r="647">
      <c r="B647" s="82"/>
      <c r="C647" s="82"/>
    </row>
    <row r="648">
      <c r="B648" s="82"/>
      <c r="C648" s="82"/>
    </row>
    <row r="649">
      <c r="B649" s="82"/>
      <c r="C649" s="82"/>
    </row>
    <row r="650">
      <c r="B650" s="82"/>
      <c r="C650" s="82"/>
    </row>
    <row r="651">
      <c r="B651" s="82"/>
      <c r="C651" s="82"/>
    </row>
    <row r="652">
      <c r="B652" s="82"/>
      <c r="C652" s="82"/>
    </row>
    <row r="653">
      <c r="B653" s="82"/>
      <c r="C653" s="82"/>
    </row>
    <row r="654">
      <c r="B654" s="82"/>
      <c r="C654" s="82"/>
    </row>
    <row r="655">
      <c r="B655" s="82"/>
      <c r="C655" s="82"/>
    </row>
    <row r="656">
      <c r="B656" s="82"/>
      <c r="C656" s="82"/>
    </row>
    <row r="657">
      <c r="B657" s="82"/>
      <c r="C657" s="82"/>
    </row>
    <row r="658">
      <c r="B658" s="82"/>
      <c r="C658" s="82"/>
    </row>
    <row r="659">
      <c r="B659" s="82"/>
      <c r="C659" s="82"/>
    </row>
    <row r="660">
      <c r="B660" s="82"/>
      <c r="C660" s="82"/>
    </row>
    <row r="661">
      <c r="B661" s="82"/>
      <c r="C661" s="82"/>
    </row>
    <row r="662">
      <c r="B662" s="82"/>
      <c r="C662" s="82"/>
    </row>
    <row r="663">
      <c r="B663" s="82"/>
      <c r="C663" s="82"/>
    </row>
    <row r="664">
      <c r="B664" s="82"/>
      <c r="C664" s="82"/>
    </row>
    <row r="665">
      <c r="B665" s="82"/>
      <c r="C665" s="82"/>
    </row>
    <row r="666">
      <c r="B666" s="82"/>
      <c r="C666" s="82"/>
    </row>
    <row r="667">
      <c r="B667" s="82"/>
      <c r="C667" s="82"/>
    </row>
    <row r="668">
      <c r="B668" s="82"/>
      <c r="C668" s="82"/>
    </row>
    <row r="669">
      <c r="B669" s="82"/>
      <c r="C669" s="82"/>
    </row>
    <row r="670">
      <c r="B670" s="82"/>
      <c r="C670" s="82"/>
    </row>
    <row r="671">
      <c r="B671" s="82"/>
      <c r="C671" s="82"/>
    </row>
    <row r="672">
      <c r="B672" s="82"/>
      <c r="C672" s="82"/>
    </row>
    <row r="673">
      <c r="B673" s="82"/>
      <c r="C673" s="82"/>
    </row>
    <row r="674">
      <c r="B674" s="82"/>
      <c r="C674" s="82"/>
    </row>
    <row r="675">
      <c r="B675" s="82"/>
      <c r="C675" s="82"/>
    </row>
    <row r="676">
      <c r="B676" s="82"/>
      <c r="C676" s="82"/>
    </row>
    <row r="677">
      <c r="B677" s="82"/>
      <c r="C677" s="82"/>
    </row>
    <row r="678">
      <c r="B678" s="82"/>
      <c r="C678" s="82"/>
    </row>
    <row r="679">
      <c r="B679" s="82"/>
      <c r="C679" s="82"/>
    </row>
    <row r="680">
      <c r="B680" s="82"/>
      <c r="C680" s="82"/>
    </row>
    <row r="681">
      <c r="B681" s="82"/>
      <c r="C681" s="82"/>
    </row>
    <row r="682">
      <c r="B682" s="82"/>
      <c r="C682" s="82"/>
    </row>
    <row r="683">
      <c r="B683" s="82"/>
      <c r="C683" s="82"/>
    </row>
    <row r="684">
      <c r="B684" s="82"/>
      <c r="C684" s="82"/>
    </row>
    <row r="685">
      <c r="B685" s="82"/>
      <c r="C685" s="82"/>
    </row>
    <row r="686">
      <c r="B686" s="82"/>
      <c r="C686" s="82"/>
    </row>
    <row r="687">
      <c r="B687" s="82"/>
      <c r="C687" s="82"/>
    </row>
    <row r="688">
      <c r="B688" s="82"/>
      <c r="C688" s="82"/>
    </row>
    <row r="689">
      <c r="B689" s="82"/>
      <c r="C689" s="82"/>
    </row>
    <row r="690">
      <c r="B690" s="82"/>
      <c r="C690" s="82"/>
    </row>
    <row r="691">
      <c r="B691" s="82"/>
      <c r="C691" s="82"/>
    </row>
    <row r="692">
      <c r="B692" s="82"/>
      <c r="C692" s="82"/>
    </row>
    <row r="693">
      <c r="B693" s="82"/>
      <c r="C693" s="82"/>
    </row>
    <row r="694">
      <c r="B694" s="82"/>
      <c r="C694" s="82"/>
    </row>
    <row r="695">
      <c r="B695" s="82"/>
      <c r="C695" s="82"/>
    </row>
    <row r="696">
      <c r="B696" s="82"/>
      <c r="C696" s="82"/>
    </row>
    <row r="697">
      <c r="B697" s="82"/>
      <c r="C697" s="82"/>
    </row>
    <row r="698">
      <c r="B698" s="82"/>
      <c r="C698" s="82"/>
    </row>
    <row r="699">
      <c r="B699" s="82"/>
      <c r="C699" s="82"/>
    </row>
    <row r="700">
      <c r="B700" s="82"/>
      <c r="C700" s="82"/>
    </row>
    <row r="701">
      <c r="B701" s="82"/>
      <c r="C701" s="82"/>
    </row>
    <row r="702">
      <c r="B702" s="82"/>
      <c r="C702" s="82"/>
    </row>
    <row r="703">
      <c r="B703" s="82"/>
      <c r="C703" s="82"/>
    </row>
    <row r="704">
      <c r="B704" s="82"/>
      <c r="C704" s="82"/>
    </row>
    <row r="705">
      <c r="B705" s="82"/>
      <c r="C705" s="82"/>
    </row>
    <row r="706">
      <c r="B706" s="82"/>
      <c r="C706" s="82"/>
    </row>
    <row r="707">
      <c r="B707" s="82"/>
      <c r="C707" s="82"/>
    </row>
    <row r="708">
      <c r="B708" s="82"/>
      <c r="C708" s="82"/>
    </row>
    <row r="709">
      <c r="B709" s="82"/>
      <c r="C709" s="82"/>
    </row>
    <row r="710">
      <c r="B710" s="82"/>
      <c r="C710" s="82"/>
    </row>
    <row r="711">
      <c r="B711" s="82"/>
      <c r="C711" s="82"/>
    </row>
    <row r="712">
      <c r="B712" s="82"/>
      <c r="C712" s="82"/>
    </row>
    <row r="713">
      <c r="B713" s="82"/>
      <c r="C713" s="82"/>
    </row>
    <row r="714">
      <c r="B714" s="82"/>
      <c r="C714" s="82"/>
    </row>
    <row r="715">
      <c r="B715" s="82"/>
      <c r="C715" s="82"/>
    </row>
    <row r="716">
      <c r="B716" s="82"/>
      <c r="C716" s="82"/>
    </row>
    <row r="717">
      <c r="B717" s="82"/>
      <c r="C717" s="82"/>
    </row>
    <row r="718">
      <c r="B718" s="82"/>
      <c r="C718" s="82"/>
    </row>
    <row r="719">
      <c r="B719" s="82"/>
      <c r="C719" s="82"/>
    </row>
    <row r="720">
      <c r="B720" s="82"/>
      <c r="C720" s="82"/>
    </row>
    <row r="721">
      <c r="B721" s="82"/>
      <c r="C721" s="82"/>
    </row>
    <row r="722">
      <c r="B722" s="82"/>
      <c r="C722" s="82"/>
    </row>
    <row r="723">
      <c r="B723" s="82"/>
      <c r="C723" s="82"/>
    </row>
    <row r="724">
      <c r="B724" s="82"/>
      <c r="C724" s="82"/>
    </row>
    <row r="725">
      <c r="B725" s="82"/>
      <c r="C725" s="82"/>
    </row>
    <row r="726">
      <c r="B726" s="82"/>
      <c r="C726" s="82"/>
    </row>
    <row r="727">
      <c r="B727" s="82"/>
      <c r="C727" s="82"/>
    </row>
    <row r="728">
      <c r="B728" s="82"/>
      <c r="C728" s="82"/>
    </row>
    <row r="729">
      <c r="B729" s="82"/>
      <c r="C729" s="82"/>
    </row>
    <row r="730">
      <c r="B730" s="82"/>
      <c r="C730" s="82"/>
    </row>
    <row r="731">
      <c r="B731" s="82"/>
      <c r="C731" s="82"/>
    </row>
    <row r="732">
      <c r="B732" s="82"/>
      <c r="C732" s="82"/>
    </row>
    <row r="733">
      <c r="B733" s="82"/>
      <c r="C733" s="82"/>
    </row>
    <row r="734">
      <c r="B734" s="82"/>
      <c r="C734" s="82"/>
    </row>
    <row r="735">
      <c r="B735" s="82"/>
      <c r="C735" s="82"/>
    </row>
    <row r="736">
      <c r="B736" s="82"/>
      <c r="C736" s="82"/>
    </row>
    <row r="737">
      <c r="B737" s="82"/>
      <c r="C737" s="82"/>
    </row>
    <row r="738">
      <c r="B738" s="82"/>
      <c r="C738" s="82"/>
    </row>
    <row r="739">
      <c r="B739" s="82"/>
      <c r="C739" s="82"/>
    </row>
    <row r="740">
      <c r="B740" s="82"/>
      <c r="C740" s="82"/>
    </row>
    <row r="741">
      <c r="B741" s="82"/>
      <c r="C741" s="82"/>
    </row>
    <row r="742">
      <c r="B742" s="82"/>
      <c r="C742" s="82"/>
    </row>
    <row r="743">
      <c r="B743" s="82"/>
      <c r="C743" s="82"/>
    </row>
    <row r="744">
      <c r="B744" s="82"/>
      <c r="C744" s="82"/>
    </row>
    <row r="745">
      <c r="B745" s="82"/>
      <c r="C745" s="82"/>
    </row>
    <row r="746">
      <c r="B746" s="82"/>
      <c r="C746" s="82"/>
    </row>
    <row r="747">
      <c r="B747" s="82"/>
      <c r="C747" s="82"/>
    </row>
    <row r="748">
      <c r="B748" s="82"/>
      <c r="C748" s="82"/>
    </row>
    <row r="749">
      <c r="B749" s="82"/>
      <c r="C749" s="82"/>
    </row>
    <row r="750">
      <c r="B750" s="82"/>
      <c r="C750" s="82"/>
    </row>
    <row r="751">
      <c r="B751" s="82"/>
      <c r="C751" s="82"/>
    </row>
    <row r="752">
      <c r="B752" s="82"/>
      <c r="C752" s="82"/>
    </row>
    <row r="753">
      <c r="B753" s="82"/>
      <c r="C753" s="82"/>
    </row>
    <row r="754">
      <c r="B754" s="82"/>
      <c r="C754" s="82"/>
    </row>
    <row r="755">
      <c r="B755" s="82"/>
      <c r="C755" s="82"/>
    </row>
    <row r="756">
      <c r="B756" s="82"/>
      <c r="C756" s="82"/>
    </row>
    <row r="757">
      <c r="B757" s="82"/>
      <c r="C757" s="82"/>
    </row>
    <row r="758">
      <c r="B758" s="82"/>
      <c r="C758" s="82"/>
    </row>
    <row r="759">
      <c r="B759" s="82"/>
      <c r="C759" s="82"/>
    </row>
    <row r="760">
      <c r="B760" s="82"/>
      <c r="C760" s="82"/>
    </row>
    <row r="761">
      <c r="B761" s="82"/>
      <c r="C761" s="82"/>
    </row>
    <row r="762">
      <c r="B762" s="82"/>
      <c r="C762" s="82"/>
    </row>
    <row r="763">
      <c r="B763" s="82"/>
      <c r="C763" s="82"/>
    </row>
    <row r="764">
      <c r="B764" s="82"/>
      <c r="C764" s="82"/>
    </row>
    <row r="765">
      <c r="B765" s="82"/>
      <c r="C765" s="82"/>
    </row>
    <row r="766">
      <c r="B766" s="82"/>
      <c r="C766" s="82"/>
    </row>
    <row r="767">
      <c r="B767" s="82"/>
      <c r="C767" s="82"/>
    </row>
    <row r="768">
      <c r="B768" s="82"/>
      <c r="C768" s="82"/>
    </row>
    <row r="769">
      <c r="B769" s="82"/>
      <c r="C769" s="82"/>
    </row>
    <row r="770">
      <c r="B770" s="82"/>
      <c r="C770" s="82"/>
    </row>
    <row r="771">
      <c r="B771" s="82"/>
      <c r="C771" s="82"/>
    </row>
    <row r="772">
      <c r="B772" s="82"/>
      <c r="C772" s="82"/>
    </row>
    <row r="773">
      <c r="B773" s="82"/>
      <c r="C773" s="82"/>
    </row>
    <row r="774">
      <c r="B774" s="82"/>
      <c r="C774" s="82"/>
    </row>
    <row r="775">
      <c r="B775" s="82"/>
      <c r="C775" s="82"/>
    </row>
    <row r="776">
      <c r="B776" s="82"/>
      <c r="C776" s="82"/>
    </row>
    <row r="777">
      <c r="B777" s="82"/>
      <c r="C777" s="82"/>
    </row>
    <row r="778">
      <c r="B778" s="82"/>
      <c r="C778" s="82"/>
    </row>
    <row r="779">
      <c r="B779" s="82"/>
      <c r="C779" s="82"/>
    </row>
    <row r="780">
      <c r="B780" s="82"/>
      <c r="C780" s="82"/>
    </row>
    <row r="781">
      <c r="B781" s="82"/>
      <c r="C781" s="82"/>
    </row>
    <row r="782">
      <c r="B782" s="82"/>
      <c r="C782" s="82"/>
    </row>
    <row r="783">
      <c r="B783" s="82"/>
      <c r="C783" s="82"/>
    </row>
    <row r="784">
      <c r="B784" s="82"/>
      <c r="C784" s="82"/>
    </row>
    <row r="785">
      <c r="B785" s="82"/>
      <c r="C785" s="82"/>
    </row>
    <row r="786">
      <c r="B786" s="82"/>
      <c r="C786" s="82"/>
    </row>
    <row r="787">
      <c r="B787" s="82"/>
      <c r="C787" s="82"/>
    </row>
    <row r="788">
      <c r="B788" s="82"/>
      <c r="C788" s="82"/>
    </row>
    <row r="789">
      <c r="B789" s="82"/>
      <c r="C789" s="82"/>
    </row>
    <row r="790">
      <c r="B790" s="82"/>
      <c r="C790" s="82"/>
    </row>
    <row r="791">
      <c r="B791" s="82"/>
      <c r="C791" s="82"/>
    </row>
    <row r="792">
      <c r="B792" s="82"/>
      <c r="C792" s="82"/>
    </row>
    <row r="793">
      <c r="B793" s="82"/>
      <c r="C793" s="82"/>
    </row>
    <row r="794">
      <c r="B794" s="82"/>
      <c r="C794" s="82"/>
    </row>
    <row r="795">
      <c r="B795" s="82"/>
      <c r="C795" s="82"/>
    </row>
    <row r="796">
      <c r="B796" s="82"/>
      <c r="C796" s="82"/>
    </row>
    <row r="797">
      <c r="B797" s="82"/>
      <c r="C797" s="82"/>
    </row>
    <row r="798">
      <c r="B798" s="82"/>
      <c r="C798" s="82"/>
    </row>
    <row r="799">
      <c r="B799" s="82"/>
      <c r="C799" s="82"/>
    </row>
    <row r="800">
      <c r="B800" s="82"/>
      <c r="C800" s="82"/>
    </row>
    <row r="801">
      <c r="B801" s="82"/>
      <c r="C801" s="82"/>
    </row>
    <row r="802">
      <c r="B802" s="82"/>
      <c r="C802" s="82"/>
    </row>
    <row r="803">
      <c r="B803" s="82"/>
      <c r="C803" s="82"/>
    </row>
    <row r="804">
      <c r="B804" s="82"/>
      <c r="C804" s="82"/>
    </row>
    <row r="805">
      <c r="B805" s="82"/>
      <c r="C805" s="82"/>
    </row>
    <row r="806">
      <c r="B806" s="82"/>
      <c r="C806" s="82"/>
    </row>
    <row r="807">
      <c r="B807" s="82"/>
      <c r="C807" s="82"/>
    </row>
    <row r="808">
      <c r="B808" s="82"/>
      <c r="C808" s="82"/>
    </row>
    <row r="809">
      <c r="B809" s="82"/>
      <c r="C809" s="82"/>
    </row>
    <row r="810">
      <c r="B810" s="82"/>
      <c r="C810" s="82"/>
    </row>
    <row r="811">
      <c r="B811" s="82"/>
      <c r="C811" s="82"/>
    </row>
    <row r="812">
      <c r="B812" s="82"/>
      <c r="C812" s="82"/>
    </row>
    <row r="813">
      <c r="B813" s="82"/>
      <c r="C813" s="82"/>
    </row>
    <row r="814">
      <c r="B814" s="82"/>
      <c r="C814" s="82"/>
    </row>
    <row r="815">
      <c r="B815" s="82"/>
      <c r="C815" s="82"/>
    </row>
    <row r="816">
      <c r="B816" s="82"/>
      <c r="C816" s="82"/>
    </row>
    <row r="817">
      <c r="B817" s="82"/>
      <c r="C817" s="82"/>
    </row>
    <row r="818">
      <c r="B818" s="82"/>
      <c r="C818" s="82"/>
    </row>
    <row r="819">
      <c r="B819" s="82"/>
      <c r="C819" s="82"/>
    </row>
    <row r="820">
      <c r="B820" s="82"/>
      <c r="C820" s="82"/>
    </row>
    <row r="821">
      <c r="B821" s="82"/>
      <c r="C821" s="82"/>
    </row>
    <row r="822">
      <c r="B822" s="82"/>
      <c r="C822" s="82"/>
    </row>
    <row r="823">
      <c r="B823" s="82"/>
      <c r="C823" s="82"/>
    </row>
    <row r="824">
      <c r="B824" s="82"/>
      <c r="C824" s="82"/>
    </row>
    <row r="825">
      <c r="B825" s="82"/>
      <c r="C825" s="82"/>
    </row>
    <row r="826">
      <c r="B826" s="82"/>
      <c r="C826" s="82"/>
    </row>
    <row r="827">
      <c r="B827" s="82"/>
      <c r="C827" s="82"/>
    </row>
    <row r="828">
      <c r="B828" s="82"/>
      <c r="C828" s="82"/>
    </row>
    <row r="829">
      <c r="B829" s="82"/>
      <c r="C829" s="82"/>
    </row>
    <row r="830">
      <c r="B830" s="82"/>
      <c r="C830" s="82"/>
    </row>
    <row r="831">
      <c r="B831" s="82"/>
      <c r="C831" s="82"/>
    </row>
    <row r="832">
      <c r="B832" s="82"/>
      <c r="C832" s="82"/>
    </row>
    <row r="833">
      <c r="B833" s="82"/>
      <c r="C833" s="82"/>
    </row>
    <row r="834">
      <c r="B834" s="82"/>
      <c r="C834" s="82"/>
    </row>
    <row r="835">
      <c r="B835" s="82"/>
      <c r="C835" s="82"/>
    </row>
    <row r="836">
      <c r="B836" s="82"/>
      <c r="C836" s="82"/>
    </row>
    <row r="837">
      <c r="B837" s="82"/>
      <c r="C837" s="82"/>
    </row>
    <row r="838">
      <c r="B838" s="82"/>
      <c r="C838" s="82"/>
    </row>
    <row r="839">
      <c r="B839" s="82"/>
      <c r="C839" s="82"/>
    </row>
    <row r="840">
      <c r="B840" s="82"/>
      <c r="C840" s="82"/>
    </row>
    <row r="841">
      <c r="B841" s="82"/>
      <c r="C841" s="82"/>
    </row>
    <row r="842">
      <c r="B842" s="82"/>
      <c r="C842" s="82"/>
    </row>
    <row r="843">
      <c r="B843" s="82"/>
      <c r="C843" s="82"/>
    </row>
    <row r="844">
      <c r="B844" s="82"/>
      <c r="C844" s="82"/>
    </row>
    <row r="845">
      <c r="B845" s="82"/>
      <c r="C845" s="82"/>
    </row>
    <row r="846">
      <c r="B846" s="82"/>
      <c r="C846" s="82"/>
    </row>
    <row r="847">
      <c r="B847" s="82"/>
      <c r="C847" s="82"/>
    </row>
    <row r="848">
      <c r="B848" s="82"/>
      <c r="C848" s="82"/>
    </row>
    <row r="849">
      <c r="B849" s="82"/>
      <c r="C849" s="82"/>
    </row>
    <row r="850">
      <c r="B850" s="82"/>
      <c r="C850" s="82"/>
    </row>
    <row r="851">
      <c r="B851" s="82"/>
      <c r="C851" s="82"/>
    </row>
    <row r="852">
      <c r="B852" s="82"/>
      <c r="C852" s="82"/>
    </row>
    <row r="853">
      <c r="B853" s="82"/>
      <c r="C853" s="82"/>
    </row>
    <row r="854">
      <c r="B854" s="82"/>
      <c r="C854" s="82"/>
    </row>
    <row r="855">
      <c r="B855" s="82"/>
      <c r="C855" s="82"/>
    </row>
    <row r="856">
      <c r="B856" s="82"/>
      <c r="C856" s="82"/>
    </row>
    <row r="857">
      <c r="B857" s="82"/>
      <c r="C857" s="82"/>
    </row>
    <row r="858">
      <c r="B858" s="82"/>
      <c r="C858" s="82"/>
    </row>
    <row r="859">
      <c r="B859" s="82"/>
      <c r="C859" s="82"/>
    </row>
    <row r="860">
      <c r="B860" s="82"/>
      <c r="C860" s="82"/>
    </row>
    <row r="861">
      <c r="B861" s="82"/>
      <c r="C861" s="82"/>
    </row>
    <row r="862">
      <c r="B862" s="82"/>
      <c r="C862" s="82"/>
    </row>
    <row r="863">
      <c r="B863" s="82"/>
      <c r="C863" s="82"/>
    </row>
    <row r="864">
      <c r="B864" s="82"/>
      <c r="C864" s="82"/>
    </row>
    <row r="865">
      <c r="B865" s="82"/>
      <c r="C865" s="82"/>
    </row>
    <row r="866">
      <c r="B866" s="82"/>
      <c r="C866" s="82"/>
    </row>
    <row r="867">
      <c r="B867" s="82"/>
      <c r="C867" s="82"/>
    </row>
    <row r="868">
      <c r="B868" s="82"/>
      <c r="C868" s="82"/>
    </row>
    <row r="869">
      <c r="B869" s="82"/>
      <c r="C869" s="82"/>
    </row>
    <row r="870">
      <c r="B870" s="82"/>
      <c r="C870" s="82"/>
    </row>
    <row r="871">
      <c r="B871" s="82"/>
      <c r="C871" s="82"/>
    </row>
    <row r="872">
      <c r="B872" s="82"/>
      <c r="C872" s="82"/>
    </row>
    <row r="873">
      <c r="B873" s="82"/>
      <c r="C873" s="82"/>
    </row>
    <row r="874">
      <c r="B874" s="82"/>
      <c r="C874" s="82"/>
    </row>
    <row r="875">
      <c r="B875" s="82"/>
      <c r="C875" s="82"/>
    </row>
    <row r="876">
      <c r="B876" s="82"/>
      <c r="C876" s="82"/>
    </row>
    <row r="877">
      <c r="B877" s="82"/>
      <c r="C877" s="82"/>
    </row>
    <row r="878">
      <c r="B878" s="82"/>
      <c r="C878" s="82"/>
    </row>
    <row r="879">
      <c r="B879" s="82"/>
      <c r="C879" s="82"/>
    </row>
    <row r="880">
      <c r="B880" s="82"/>
      <c r="C880" s="82"/>
    </row>
    <row r="881">
      <c r="B881" s="82"/>
      <c r="C881" s="82"/>
    </row>
    <row r="882">
      <c r="B882" s="82"/>
      <c r="C882" s="82"/>
    </row>
    <row r="883">
      <c r="B883" s="82"/>
      <c r="C883" s="82"/>
    </row>
    <row r="884">
      <c r="B884" s="82"/>
      <c r="C884" s="82"/>
    </row>
    <row r="885">
      <c r="B885" s="82"/>
      <c r="C885" s="82"/>
    </row>
    <row r="886">
      <c r="B886" s="82"/>
      <c r="C886" s="82"/>
    </row>
    <row r="887">
      <c r="B887" s="82"/>
      <c r="C887" s="82"/>
    </row>
    <row r="888">
      <c r="B888" s="82"/>
      <c r="C888" s="82"/>
    </row>
    <row r="889">
      <c r="B889" s="82"/>
      <c r="C889" s="82"/>
    </row>
    <row r="890">
      <c r="B890" s="82"/>
      <c r="C890" s="82"/>
    </row>
    <row r="891">
      <c r="B891" s="82"/>
      <c r="C891" s="82"/>
    </row>
    <row r="892">
      <c r="B892" s="82"/>
      <c r="C892" s="82"/>
    </row>
    <row r="893">
      <c r="B893" s="82"/>
      <c r="C893" s="82"/>
    </row>
    <row r="894">
      <c r="B894" s="82"/>
      <c r="C894" s="82"/>
    </row>
    <row r="895">
      <c r="B895" s="82"/>
      <c r="C895" s="82"/>
    </row>
    <row r="896">
      <c r="B896" s="82"/>
      <c r="C896" s="82"/>
    </row>
    <row r="897">
      <c r="B897" s="82"/>
      <c r="C897" s="82"/>
    </row>
    <row r="898">
      <c r="B898" s="82"/>
      <c r="C898" s="82"/>
    </row>
    <row r="899">
      <c r="B899" s="82"/>
      <c r="C899" s="82"/>
    </row>
    <row r="900">
      <c r="B900" s="82"/>
      <c r="C900" s="82"/>
    </row>
    <row r="901">
      <c r="B901" s="82"/>
      <c r="C901" s="82"/>
    </row>
    <row r="902">
      <c r="B902" s="82"/>
      <c r="C902" s="82"/>
    </row>
    <row r="903">
      <c r="B903" s="82"/>
      <c r="C903" s="82"/>
    </row>
    <row r="904">
      <c r="B904" s="82"/>
      <c r="C904" s="82"/>
    </row>
    <row r="905">
      <c r="B905" s="82"/>
      <c r="C905" s="82"/>
    </row>
    <row r="906">
      <c r="B906" s="82"/>
      <c r="C906" s="82"/>
    </row>
    <row r="907">
      <c r="B907" s="82"/>
      <c r="C907" s="82"/>
    </row>
    <row r="908">
      <c r="B908" s="82"/>
      <c r="C908" s="82"/>
    </row>
    <row r="909">
      <c r="B909" s="82"/>
      <c r="C909" s="82"/>
    </row>
    <row r="910">
      <c r="B910" s="82"/>
      <c r="C910" s="82"/>
    </row>
    <row r="911">
      <c r="B911" s="82"/>
      <c r="C911" s="82"/>
    </row>
    <row r="912">
      <c r="B912" s="82"/>
      <c r="C912" s="82"/>
    </row>
    <row r="913">
      <c r="B913" s="82"/>
      <c r="C913" s="82"/>
    </row>
    <row r="914">
      <c r="B914" s="82"/>
      <c r="C914" s="82"/>
    </row>
    <row r="915">
      <c r="B915" s="82"/>
      <c r="C915" s="82"/>
    </row>
    <row r="916">
      <c r="B916" s="82"/>
      <c r="C916" s="82"/>
    </row>
    <row r="917">
      <c r="B917" s="82"/>
      <c r="C917" s="82"/>
    </row>
    <row r="918">
      <c r="B918" s="82"/>
      <c r="C918" s="82"/>
    </row>
    <row r="919">
      <c r="B919" s="82"/>
      <c r="C919" s="82"/>
    </row>
    <row r="920">
      <c r="B920" s="82"/>
      <c r="C920" s="82"/>
    </row>
    <row r="921">
      <c r="B921" s="82"/>
      <c r="C921" s="82"/>
    </row>
    <row r="922">
      <c r="B922" s="82"/>
      <c r="C922" s="82"/>
    </row>
    <row r="923">
      <c r="B923" s="82"/>
      <c r="C923" s="82"/>
    </row>
    <row r="924">
      <c r="B924" s="82"/>
      <c r="C924" s="82"/>
    </row>
    <row r="925">
      <c r="B925" s="82"/>
      <c r="C925" s="82"/>
    </row>
    <row r="926">
      <c r="B926" s="82"/>
      <c r="C926" s="82"/>
    </row>
    <row r="927">
      <c r="B927" s="82"/>
      <c r="C927" s="82"/>
    </row>
    <row r="928">
      <c r="B928" s="82"/>
      <c r="C928" s="82"/>
    </row>
    <row r="929">
      <c r="B929" s="82"/>
      <c r="C929" s="82"/>
    </row>
    <row r="930">
      <c r="B930" s="82"/>
      <c r="C930" s="82"/>
    </row>
    <row r="931">
      <c r="B931" s="82"/>
      <c r="C931" s="82"/>
    </row>
    <row r="932">
      <c r="B932" s="82"/>
      <c r="C932" s="82"/>
    </row>
    <row r="933">
      <c r="B933" s="82"/>
      <c r="C933" s="82"/>
    </row>
    <row r="934">
      <c r="B934" s="82"/>
      <c r="C934" s="82"/>
    </row>
    <row r="935">
      <c r="B935" s="82"/>
      <c r="C935" s="82"/>
    </row>
    <row r="936">
      <c r="B936" s="82"/>
      <c r="C936" s="82"/>
    </row>
    <row r="937">
      <c r="B937" s="82"/>
      <c r="C937" s="82"/>
    </row>
    <row r="938">
      <c r="B938" s="82"/>
      <c r="C938" s="82"/>
    </row>
    <row r="939">
      <c r="B939" s="82"/>
      <c r="C939" s="82"/>
    </row>
    <row r="940">
      <c r="B940" s="82"/>
      <c r="C940" s="82"/>
    </row>
    <row r="941">
      <c r="B941" s="82"/>
      <c r="C941" s="82"/>
    </row>
    <row r="942">
      <c r="B942" s="82"/>
      <c r="C942" s="82"/>
    </row>
    <row r="943">
      <c r="B943" s="82"/>
      <c r="C943" s="82"/>
    </row>
    <row r="944">
      <c r="B944" s="82"/>
      <c r="C944" s="82"/>
    </row>
    <row r="945">
      <c r="B945" s="82"/>
      <c r="C945" s="82"/>
    </row>
    <row r="946">
      <c r="B946" s="82"/>
      <c r="C946" s="82"/>
    </row>
    <row r="947">
      <c r="B947" s="82"/>
      <c r="C947" s="82"/>
    </row>
    <row r="948">
      <c r="B948" s="82"/>
      <c r="C948" s="82"/>
    </row>
    <row r="949">
      <c r="B949" s="82"/>
      <c r="C949" s="82"/>
    </row>
    <row r="950">
      <c r="B950" s="82"/>
      <c r="C950" s="82"/>
    </row>
    <row r="951">
      <c r="B951" s="82"/>
      <c r="C951" s="82"/>
    </row>
    <row r="952">
      <c r="B952" s="82"/>
      <c r="C952" s="82"/>
    </row>
    <row r="953">
      <c r="B953" s="82"/>
      <c r="C953" s="82"/>
    </row>
    <row r="954">
      <c r="B954" s="82"/>
      <c r="C954" s="82"/>
    </row>
    <row r="955">
      <c r="B955" s="82"/>
      <c r="C955" s="82"/>
    </row>
    <row r="956">
      <c r="B956" s="82"/>
      <c r="C956" s="82"/>
    </row>
    <row r="957">
      <c r="B957" s="82"/>
      <c r="C957" s="82"/>
    </row>
    <row r="958">
      <c r="B958" s="82"/>
      <c r="C958" s="82"/>
    </row>
    <row r="959">
      <c r="B959" s="82"/>
      <c r="C959" s="82"/>
    </row>
    <row r="960">
      <c r="B960" s="82"/>
      <c r="C960" s="82"/>
    </row>
    <row r="961">
      <c r="B961" s="82"/>
      <c r="C961" s="82"/>
    </row>
    <row r="962">
      <c r="B962" s="82"/>
      <c r="C962" s="82"/>
    </row>
    <row r="963">
      <c r="B963" s="82"/>
      <c r="C963" s="82"/>
    </row>
    <row r="964">
      <c r="B964" s="82"/>
      <c r="C964" s="82"/>
    </row>
    <row r="965">
      <c r="B965" s="82"/>
      <c r="C965" s="82"/>
    </row>
    <row r="966">
      <c r="B966" s="82"/>
      <c r="C966" s="82"/>
    </row>
    <row r="967">
      <c r="B967" s="82"/>
      <c r="C967" s="82"/>
    </row>
    <row r="968">
      <c r="B968" s="82"/>
      <c r="C968" s="82"/>
    </row>
    <row r="969">
      <c r="B969" s="82"/>
      <c r="C969" s="82"/>
    </row>
    <row r="970">
      <c r="B970" s="82"/>
      <c r="C970" s="82"/>
    </row>
    <row r="971">
      <c r="B971" s="82"/>
      <c r="C971" s="82"/>
    </row>
    <row r="972">
      <c r="B972" s="82"/>
      <c r="C972" s="82"/>
    </row>
    <row r="973">
      <c r="B973" s="82"/>
      <c r="C973" s="82"/>
    </row>
    <row r="974">
      <c r="B974" s="82"/>
      <c r="C974" s="82"/>
    </row>
    <row r="975">
      <c r="B975" s="82"/>
      <c r="C975" s="82"/>
    </row>
    <row r="976">
      <c r="B976" s="82"/>
      <c r="C976" s="82"/>
    </row>
    <row r="977">
      <c r="B977" s="82"/>
      <c r="C977" s="82"/>
    </row>
    <row r="978">
      <c r="B978" s="82"/>
      <c r="C978" s="82"/>
    </row>
    <row r="979">
      <c r="B979" s="82"/>
      <c r="C979" s="82"/>
    </row>
    <row r="980">
      <c r="B980" s="82"/>
      <c r="C980" s="82"/>
    </row>
    <row r="981">
      <c r="B981" s="82"/>
      <c r="C981" s="82"/>
    </row>
    <row r="982">
      <c r="B982" s="82"/>
      <c r="C982" s="82"/>
    </row>
    <row r="983">
      <c r="B983" s="82"/>
      <c r="C983" s="82"/>
    </row>
    <row r="984">
      <c r="B984" s="82"/>
      <c r="C984" s="82"/>
    </row>
    <row r="985">
      <c r="B985" s="82"/>
      <c r="C985" s="82"/>
    </row>
    <row r="986">
      <c r="B986" s="82"/>
      <c r="C986" s="82"/>
    </row>
    <row r="987">
      <c r="B987" s="82"/>
      <c r="C987" s="82"/>
    </row>
    <row r="988">
      <c r="B988" s="82"/>
      <c r="C988" s="82"/>
    </row>
    <row r="989">
      <c r="B989" s="82"/>
      <c r="C989" s="82"/>
    </row>
    <row r="990">
      <c r="B990" s="82"/>
      <c r="C990" s="82"/>
    </row>
    <row r="991">
      <c r="B991" s="82"/>
      <c r="C991" s="82"/>
    </row>
    <row r="992">
      <c r="B992" s="82"/>
      <c r="C992" s="82"/>
    </row>
    <row r="993">
      <c r="B993" s="82"/>
      <c r="C993" s="82"/>
    </row>
    <row r="994">
      <c r="B994" s="82"/>
      <c r="C994" s="82"/>
    </row>
    <row r="995">
      <c r="B995" s="82"/>
      <c r="C995" s="82"/>
    </row>
    <row r="996">
      <c r="B996" s="82"/>
      <c r="C996" s="82"/>
    </row>
    <row r="997">
      <c r="B997" s="82"/>
      <c r="C997" s="82"/>
    </row>
    <row r="998">
      <c r="B998" s="82"/>
      <c r="C998" s="82"/>
    </row>
    <row r="999">
      <c r="B999" s="82"/>
      <c r="C999" s="82"/>
    </row>
    <row r="1000">
      <c r="B1000" s="82"/>
      <c r="C1000" s="82"/>
    </row>
    <row r="1001">
      <c r="B1001" s="82"/>
      <c r="C1001" s="82"/>
    </row>
    <row r="1002">
      <c r="B1002" s="82"/>
      <c r="C1002" s="82"/>
    </row>
    <row r="1003">
      <c r="B1003" s="82"/>
      <c r="C1003" s="82"/>
    </row>
    <row r="1004">
      <c r="B1004" s="82"/>
      <c r="C1004" s="82"/>
    </row>
    <row r="1005">
      <c r="B1005" s="82"/>
      <c r="C1005" s="82"/>
    </row>
    <row r="1006">
      <c r="B1006" s="82"/>
      <c r="C1006" s="82"/>
    </row>
    <row r="1007">
      <c r="B1007" s="82"/>
      <c r="C1007" s="82"/>
    </row>
    <row r="1008">
      <c r="B1008" s="82"/>
      <c r="C1008" s="82"/>
    </row>
  </sheetData>
  <mergeCells count="1">
    <mergeCell ref="A1:J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83</v>
      </c>
      <c r="B1" s="190" t="s">
        <v>183</v>
      </c>
    </row>
    <row r="2">
      <c r="A2" s="40" t="s">
        <v>185</v>
      </c>
      <c r="B2" s="190">
        <v>0.20399999999999996</v>
      </c>
    </row>
    <row r="3">
      <c r="A3" s="40" t="s">
        <v>92</v>
      </c>
      <c r="B3" s="190">
        <v>0.178</v>
      </c>
    </row>
    <row r="4">
      <c r="A4" s="40" t="s">
        <v>109</v>
      </c>
      <c r="B4" s="190">
        <v>0.145</v>
      </c>
    </row>
    <row r="5">
      <c r="A5" s="40" t="s">
        <v>135</v>
      </c>
      <c r="B5" s="190">
        <v>0.127</v>
      </c>
    </row>
    <row r="6">
      <c r="A6" s="40" t="s">
        <v>111</v>
      </c>
      <c r="B6" s="190">
        <v>0.1</v>
      </c>
    </row>
    <row r="7">
      <c r="A7" s="40" t="s">
        <v>130</v>
      </c>
      <c r="B7" s="190">
        <v>0.073</v>
      </c>
    </row>
    <row r="8">
      <c r="A8" s="40" t="s">
        <v>99</v>
      </c>
      <c r="B8" s="190">
        <v>0.065</v>
      </c>
    </row>
    <row r="9">
      <c r="A9" s="40" t="s">
        <v>141</v>
      </c>
      <c r="B9" s="190">
        <v>0.05</v>
      </c>
    </row>
    <row r="10">
      <c r="A10" s="40" t="s">
        <v>120</v>
      </c>
      <c r="B10" s="190">
        <v>0.045</v>
      </c>
    </row>
    <row r="11">
      <c r="A11" s="40" t="s">
        <v>124</v>
      </c>
      <c r="B11" s="190">
        <v>0.01</v>
      </c>
    </row>
    <row r="12">
      <c r="A12" s="40" t="s">
        <v>188</v>
      </c>
      <c r="B12" s="190">
        <v>0.003</v>
      </c>
    </row>
    <row r="13">
      <c r="A13" s="40" t="s">
        <v>107</v>
      </c>
      <c r="B13" s="190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4.38"/>
  </cols>
  <sheetData>
    <row r="1">
      <c r="A1" s="21">
        <v>45901.0</v>
      </c>
      <c r="B1" s="22">
        <v>45905.0</v>
      </c>
      <c r="C1" s="13">
        <v>19000.0</v>
      </c>
      <c r="D1" s="7" t="s">
        <v>9</v>
      </c>
      <c r="E1" s="14" t="s">
        <v>7</v>
      </c>
      <c r="F1" s="6"/>
      <c r="G1" s="3"/>
      <c r="H1" s="3"/>
    </row>
    <row r="2">
      <c r="A2" s="21"/>
      <c r="B2" s="22"/>
      <c r="C2" s="13">
        <v>750.0</v>
      </c>
      <c r="D2" s="55" t="s">
        <v>60</v>
      </c>
      <c r="E2" s="14" t="s">
        <v>7</v>
      </c>
      <c r="F2" s="6"/>
      <c r="G2" s="3"/>
      <c r="H2" s="3"/>
    </row>
    <row r="3">
      <c r="A3" s="21">
        <v>45901.0</v>
      </c>
      <c r="B3" s="22">
        <v>45905.0</v>
      </c>
      <c r="C3" s="45"/>
      <c r="D3" s="55" t="s">
        <v>61</v>
      </c>
      <c r="E3" s="14" t="s">
        <v>12</v>
      </c>
      <c r="F3" s="6"/>
      <c r="G3" s="3"/>
      <c r="H3" s="3"/>
    </row>
    <row r="4">
      <c r="A4" s="21">
        <v>45901.0</v>
      </c>
      <c r="B4" s="22">
        <v>45905.0</v>
      </c>
      <c r="C4" s="57">
        <v>-1192.09</v>
      </c>
      <c r="D4" s="55" t="s">
        <v>63</v>
      </c>
      <c r="E4" s="14" t="s">
        <v>12</v>
      </c>
      <c r="F4" s="6"/>
      <c r="G4" s="3"/>
      <c r="H4" s="3"/>
    </row>
    <row r="5">
      <c r="A5" s="21">
        <v>45901.0</v>
      </c>
      <c r="B5" s="22">
        <v>45901.0</v>
      </c>
      <c r="C5" s="58">
        <v>-1000.0</v>
      </c>
      <c r="D5" s="26" t="s">
        <v>19</v>
      </c>
      <c r="E5" s="14" t="s">
        <v>12</v>
      </c>
      <c r="F5" s="6"/>
      <c r="G5" s="3"/>
      <c r="H5" s="3"/>
    </row>
    <row r="6">
      <c r="A6" s="21">
        <v>45901.0</v>
      </c>
      <c r="B6" s="22">
        <v>45905.0</v>
      </c>
      <c r="C6" s="58">
        <v>-387.61</v>
      </c>
      <c r="D6" s="26" t="s">
        <v>23</v>
      </c>
      <c r="E6" s="14" t="s">
        <v>12</v>
      </c>
      <c r="F6" s="24"/>
    </row>
    <row r="7">
      <c r="A7" s="21">
        <v>45901.0</v>
      </c>
      <c r="B7" s="22">
        <v>45905.0</v>
      </c>
      <c r="C7" s="58">
        <f>-(1000-130-60)</f>
        <v>-810</v>
      </c>
      <c r="D7" s="26" t="s">
        <v>22</v>
      </c>
      <c r="E7" s="14" t="s">
        <v>12</v>
      </c>
      <c r="F7" s="6"/>
      <c r="G7" s="3"/>
      <c r="H7" s="3"/>
    </row>
    <row r="8">
      <c r="A8" s="21">
        <v>45901.0</v>
      </c>
      <c r="B8" s="22">
        <v>45905.0</v>
      </c>
      <c r="C8" s="59">
        <v>-550.0</v>
      </c>
      <c r="D8" s="26" t="s">
        <v>43</v>
      </c>
      <c r="E8" s="14" t="s">
        <v>12</v>
      </c>
      <c r="F8" s="6"/>
      <c r="G8" s="3"/>
      <c r="H8" s="3"/>
    </row>
    <row r="9">
      <c r="A9" s="21">
        <v>45901.0</v>
      </c>
      <c r="B9" s="22">
        <v>45905.0</v>
      </c>
      <c r="C9" s="58">
        <v>-350.0</v>
      </c>
      <c r="D9" s="26" t="s">
        <v>15</v>
      </c>
      <c r="E9" s="14" t="s">
        <v>12</v>
      </c>
      <c r="F9" s="24"/>
    </row>
    <row r="10">
      <c r="A10" s="21">
        <v>45901.0</v>
      </c>
      <c r="B10" s="22">
        <v>45905.0</v>
      </c>
      <c r="C10" s="59">
        <v>-750.0</v>
      </c>
      <c r="D10" s="26" t="s">
        <v>17</v>
      </c>
      <c r="E10" s="14" t="s">
        <v>12</v>
      </c>
      <c r="F10" s="6"/>
      <c r="G10" s="3"/>
      <c r="H10" s="3"/>
    </row>
    <row r="11">
      <c r="A11" s="21">
        <v>45901.0</v>
      </c>
      <c r="B11" s="22">
        <v>45905.0</v>
      </c>
      <c r="C11" s="45">
        <v>-719.35</v>
      </c>
      <c r="D11" s="55" t="s">
        <v>64</v>
      </c>
      <c r="E11" s="14" t="s">
        <v>12</v>
      </c>
      <c r="F11" s="24" t="s">
        <v>66</v>
      </c>
      <c r="G11" s="3"/>
      <c r="H11" s="3"/>
    </row>
    <row r="12">
      <c r="A12" s="21">
        <v>45901.0</v>
      </c>
      <c r="B12" s="22">
        <v>45905.0</v>
      </c>
      <c r="C12" s="59">
        <v>-350.0</v>
      </c>
      <c r="D12" s="26" t="s">
        <v>65</v>
      </c>
      <c r="E12" s="14" t="s">
        <v>12</v>
      </c>
      <c r="F12" s="6"/>
      <c r="G12" s="3"/>
      <c r="H12" s="3"/>
    </row>
    <row r="13">
      <c r="A13" s="21">
        <v>45901.0</v>
      </c>
      <c r="B13" s="33">
        <v>45910.0</v>
      </c>
      <c r="C13" s="59">
        <v>-2500.0</v>
      </c>
      <c r="D13" s="26" t="s">
        <v>67</v>
      </c>
      <c r="E13" s="14" t="s">
        <v>12</v>
      </c>
      <c r="F13" s="6"/>
      <c r="G13" s="3"/>
      <c r="H13" s="3"/>
    </row>
    <row r="14">
      <c r="A14" s="21">
        <v>45901.0</v>
      </c>
      <c r="B14" s="33">
        <v>45910.0</v>
      </c>
      <c r="C14" s="58">
        <v>-150.0</v>
      </c>
      <c r="D14" s="26" t="s">
        <v>68</v>
      </c>
      <c r="E14" s="14" t="s">
        <v>12</v>
      </c>
      <c r="F14" s="6"/>
      <c r="G14" s="3"/>
      <c r="H14" s="3"/>
    </row>
    <row r="15">
      <c r="A15" s="21">
        <v>45901.0</v>
      </c>
      <c r="B15" s="22">
        <v>45904.0</v>
      </c>
      <c r="C15" s="58">
        <v>-278.0</v>
      </c>
      <c r="D15" s="26" t="s">
        <v>16</v>
      </c>
      <c r="E15" s="14" t="s">
        <v>12</v>
      </c>
      <c r="F15" s="6"/>
      <c r="G15" s="3"/>
      <c r="H15" s="3"/>
    </row>
    <row r="16">
      <c r="A16" s="21">
        <v>45901.0</v>
      </c>
      <c r="B16" s="22">
        <v>45905.0</v>
      </c>
      <c r="C16" s="57"/>
      <c r="D16" s="26" t="s">
        <v>24</v>
      </c>
      <c r="E16" s="14" t="s">
        <v>12</v>
      </c>
      <c r="F16" s="6"/>
      <c r="G16" s="3"/>
      <c r="H16" s="3"/>
    </row>
    <row r="17">
      <c r="A17" s="21">
        <v>45901.0</v>
      </c>
      <c r="B17" s="22">
        <v>45907.0</v>
      </c>
      <c r="C17" s="58">
        <v>-280.0</v>
      </c>
      <c r="D17" s="26" t="s">
        <v>29</v>
      </c>
      <c r="E17" s="14" t="s">
        <v>12</v>
      </c>
      <c r="F17" s="6"/>
      <c r="G17" s="3"/>
      <c r="H17" s="3"/>
    </row>
    <row r="18">
      <c r="A18" s="21">
        <v>45901.0</v>
      </c>
      <c r="B18" s="22">
        <v>45907.0</v>
      </c>
      <c r="C18" s="45"/>
      <c r="D18" s="55" t="s">
        <v>26</v>
      </c>
      <c r="E18" s="14" t="s">
        <v>12</v>
      </c>
      <c r="F18" s="6"/>
      <c r="G18" s="3"/>
      <c r="H18" s="3"/>
    </row>
    <row r="19">
      <c r="A19" s="21">
        <v>45901.0</v>
      </c>
      <c r="B19" s="22">
        <v>45907.0</v>
      </c>
      <c r="C19" s="58"/>
      <c r="D19" s="26" t="s">
        <v>57</v>
      </c>
      <c r="E19" s="14" t="s">
        <v>12</v>
      </c>
      <c r="F19" s="6"/>
      <c r="G19" s="3"/>
      <c r="H19" s="3"/>
    </row>
    <row r="20">
      <c r="A20" s="21">
        <v>45901.0</v>
      </c>
      <c r="B20" s="33">
        <v>45910.0</v>
      </c>
      <c r="C20" s="13">
        <v>508.0</v>
      </c>
      <c r="D20" s="7" t="s">
        <v>70</v>
      </c>
      <c r="E20" s="14" t="s">
        <v>7</v>
      </c>
      <c r="F20" s="6"/>
      <c r="G20" s="3"/>
      <c r="H20" s="3"/>
    </row>
    <row r="21">
      <c r="A21" s="21">
        <v>45901.0</v>
      </c>
      <c r="B21" s="33">
        <v>45910.0</v>
      </c>
      <c r="C21" s="13">
        <v>450.0</v>
      </c>
      <c r="D21" s="7" t="s">
        <v>72</v>
      </c>
      <c r="E21" s="14" t="s">
        <v>7</v>
      </c>
      <c r="F21" s="6"/>
      <c r="G21" s="3"/>
      <c r="H21" s="3"/>
    </row>
    <row r="22">
      <c r="A22" s="21">
        <v>45901.0</v>
      </c>
      <c r="B22" s="33">
        <v>45910.0</v>
      </c>
      <c r="C22" s="58">
        <v>-563.16</v>
      </c>
      <c r="D22" s="26" t="s">
        <v>37</v>
      </c>
      <c r="E22" s="14" t="s">
        <v>12</v>
      </c>
      <c r="F22" s="6"/>
      <c r="G22" s="3"/>
      <c r="H22" s="3"/>
    </row>
    <row r="23">
      <c r="A23" s="21">
        <v>45901.0</v>
      </c>
      <c r="B23" s="33">
        <v>45912.0</v>
      </c>
      <c r="C23" s="52">
        <v>-200.0</v>
      </c>
      <c r="D23" s="53" t="s">
        <v>59</v>
      </c>
      <c r="E23" s="14" t="s">
        <v>12</v>
      </c>
      <c r="F23" s="6"/>
      <c r="G23" s="3"/>
      <c r="H23" s="3"/>
    </row>
    <row r="24">
      <c r="A24" s="21">
        <v>45901.0</v>
      </c>
      <c r="B24" s="33">
        <v>45915.0</v>
      </c>
      <c r="C24" s="13"/>
      <c r="D24" s="7" t="s">
        <v>10</v>
      </c>
      <c r="E24" s="14" t="s">
        <v>7</v>
      </c>
      <c r="F24" s="24" t="s">
        <v>66</v>
      </c>
      <c r="G24" s="3"/>
      <c r="H24" s="3"/>
    </row>
    <row r="25">
      <c r="A25" s="21">
        <v>45901.0</v>
      </c>
      <c r="B25" s="33">
        <v>45915.0</v>
      </c>
      <c r="C25" s="23">
        <v>-255.0</v>
      </c>
      <c r="D25" s="27" t="s">
        <v>73</v>
      </c>
      <c r="E25" s="14" t="s">
        <v>12</v>
      </c>
      <c r="F25" s="6"/>
      <c r="G25" s="3"/>
      <c r="H25" s="3"/>
    </row>
    <row r="26">
      <c r="A26" s="21">
        <v>45901.0</v>
      </c>
      <c r="B26" s="33">
        <v>45915.0</v>
      </c>
      <c r="C26" s="23"/>
      <c r="D26" s="27" t="s">
        <v>74</v>
      </c>
      <c r="E26" s="68" t="s">
        <v>7</v>
      </c>
      <c r="F26" s="6"/>
      <c r="G26" s="3"/>
      <c r="H26" s="3"/>
    </row>
    <row r="27">
      <c r="A27" s="21">
        <v>45901.0</v>
      </c>
      <c r="B27" s="33">
        <v>45917.0</v>
      </c>
      <c r="C27" s="57">
        <v>-1562.93</v>
      </c>
      <c r="D27" s="7" t="s">
        <v>42</v>
      </c>
      <c r="E27" s="14" t="s">
        <v>12</v>
      </c>
      <c r="F27" s="6"/>
      <c r="G27" s="3"/>
      <c r="H27" s="3"/>
    </row>
    <row r="28">
      <c r="A28" s="21">
        <v>45901.0</v>
      </c>
      <c r="B28" s="33">
        <v>45917.0</v>
      </c>
      <c r="C28" s="23">
        <v>-1000.0</v>
      </c>
      <c r="D28" s="26" t="s">
        <v>75</v>
      </c>
      <c r="E28" s="14" t="s">
        <v>12</v>
      </c>
      <c r="F28" s="6"/>
      <c r="G28" s="3"/>
      <c r="H28" s="3"/>
    </row>
    <row r="29">
      <c r="A29" s="21">
        <v>45901.0</v>
      </c>
      <c r="B29" s="33">
        <v>45917.0</v>
      </c>
      <c r="C29" s="76"/>
      <c r="D29" s="71" t="s">
        <v>76</v>
      </c>
      <c r="E29" s="14" t="s">
        <v>12</v>
      </c>
    </row>
    <row r="30">
      <c r="A30" s="21">
        <v>45901.0</v>
      </c>
      <c r="B30" s="33">
        <v>45917.0</v>
      </c>
      <c r="C30" s="77"/>
      <c r="D30" s="78"/>
      <c r="E30" s="79"/>
    </row>
    <row r="31">
      <c r="A31" s="21">
        <v>45901.0</v>
      </c>
      <c r="B31" s="33">
        <v>45919.0</v>
      </c>
      <c r="C31" s="52">
        <v>-200.0</v>
      </c>
      <c r="D31" s="53" t="s">
        <v>59</v>
      </c>
      <c r="E31" s="14" t="s">
        <v>12</v>
      </c>
    </row>
    <row r="32">
      <c r="A32" s="21">
        <v>45901.0</v>
      </c>
      <c r="B32" s="33">
        <v>45921.0</v>
      </c>
      <c r="C32" s="77"/>
      <c r="D32" s="78"/>
      <c r="E32" s="79"/>
    </row>
    <row r="33">
      <c r="A33" s="21">
        <v>45901.0</v>
      </c>
      <c r="B33" s="33">
        <v>45923.0</v>
      </c>
      <c r="C33" s="77"/>
      <c r="D33" s="78"/>
      <c r="E33" s="79"/>
    </row>
    <row r="34">
      <c r="A34" s="21">
        <v>45901.0</v>
      </c>
      <c r="B34" s="33">
        <v>45925.0</v>
      </c>
      <c r="C34" s="77"/>
      <c r="D34" s="78"/>
      <c r="E34" s="79"/>
    </row>
    <row r="35">
      <c r="A35" s="21">
        <v>45901.0</v>
      </c>
      <c r="B35" s="33">
        <v>45926.0</v>
      </c>
      <c r="C35" s="52">
        <v>-200.0</v>
      </c>
      <c r="D35" s="53" t="s">
        <v>59</v>
      </c>
      <c r="E35" s="14" t="s">
        <v>12</v>
      </c>
    </row>
    <row r="36">
      <c r="A36" s="21">
        <v>45901.0</v>
      </c>
      <c r="B36" s="33">
        <v>45929.0</v>
      </c>
      <c r="C36" s="43">
        <f>SUM(C1:C35)</f>
        <v>7409.86</v>
      </c>
      <c r="D36" s="44" t="s">
        <v>77</v>
      </c>
      <c r="E36" s="14" t="s">
        <v>55</v>
      </c>
    </row>
  </sheetData>
  <mergeCells count="2">
    <mergeCell ref="F6:H6"/>
    <mergeCell ref="F9:H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